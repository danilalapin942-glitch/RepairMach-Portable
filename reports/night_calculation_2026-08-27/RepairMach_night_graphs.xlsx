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2d2b879ec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рафики" sheetId="1" r:id="R56081431555b4c9b"/>
    <x:sheet xmlns:r="http://schemas.openxmlformats.org/officeDocument/2006/relationships" name="Приращения α" sheetId="2" r:id="R2c82f5bb2df2431c"/>
    <x:sheet xmlns:r="http://schemas.openxmlformats.org/officeDocument/2006/relationships" name="Маховые кривые" sheetId="3" r:id="Rcd49e1095e92479a"/>
    <x:sheet xmlns:r="http://schemas.openxmlformats.org/officeDocument/2006/relationships" name="Книжные кривые" sheetId="4" r:id="R7323cfa3fcaa4e63"/>
    <x:sheet xmlns:r="http://schemas.openxmlformats.org/officeDocument/2006/relationships" name="Сырые 120 точек" sheetId="5" r:id="R45f140dee7ac4edf"/>
    <x:sheet xmlns:r="http://schemas.openxmlformats.org/officeDocument/2006/relationships" name="Примечания" sheetId="6" r:id="R3959838aba5f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00"/>
    <x:numFmt numFmtId="202" formatCode="0.0%"/>
    <x:numFmt numFmtId="203" formatCode="0.0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sz val="9"/>
      <x:name val="Carlito"/>
    </x:font>
    <x:font>
      <x:i/>
      <x:sz val="10"/>
      <x:color rgb="FF1F1F1F"/>
      <x:name val="Carlito"/>
    </x:font>
    <x:font>
      <x:sz val="9"/>
      <x:color rgb="FF7F7F7F"/>
      <x:name val="Carlito"/>
    </x:font>
    <x:font>
      <x:sz val="10"/>
      <x:name val="Carlito"/>
    </x:font>
    <x:font>
      <x:b/>
      <x:sz val="10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FFFFFF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202" fontId="4" fillId="0" borderId="2" xfId="0" applyNumberFormat="1" applyFont="1" applyFill="1" applyBorder="1"/>
    <x:xf numFmtId="0" fontId="4" fillId="5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8" fillId="3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1cca5a39f9428d" /><Relationship Type="http://schemas.openxmlformats.org/officeDocument/2006/relationships/theme" Target="/xl/theme/theme1.xml" Id="R463181e5515746f9" /><Relationship Type="http://schemas.openxmlformats.org/officeDocument/2006/relationships/sharedStrings" Target="/xl/sharedStrings.xml" Id="R55c9045fca0e4461" /><Relationship Type="http://schemas.openxmlformats.org/officeDocument/2006/relationships/worksheet" Target="/xl/worksheets/sheet1.xml" Id="R56081431555b4c9b" /><Relationship Type="http://schemas.openxmlformats.org/officeDocument/2006/relationships/worksheet" Target="/xl/worksheets/sheet2.xml" Id="R2c82f5bb2df2431c" /><Relationship Type="http://schemas.openxmlformats.org/officeDocument/2006/relationships/worksheet" Target="/xl/worksheets/sheet3.xml" Id="Rcd49e1095e92479a" /><Relationship Type="http://schemas.openxmlformats.org/officeDocument/2006/relationships/worksheet" Target="/xl/worksheets/sheet4.xml" Id="R7323cfa3fcaa4e63" /><Relationship Type="http://schemas.openxmlformats.org/officeDocument/2006/relationships/worksheet" Target="/xl/worksheets/sheet5.xml" Id="R45f140dee7ac4edf" /><Relationship Type="http://schemas.openxmlformats.org/officeDocument/2006/relationships/worksheet" Target="/xl/worksheets/sheet6.xml" Id="R3959838aba5f40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46e4c88314480c" /><Relationship Type="http://schemas.openxmlformats.org/officeDocument/2006/relationships/chart" Target="/xl/drawings/charts/chart2.xml" Id="Ra41925632af7418d" /><Relationship Type="http://schemas.openxmlformats.org/officeDocument/2006/relationships/chart" Target="/xl/drawings/charts/chart3.xml" Id="R1c9afbb069ff47ad" /><Relationship Type="http://schemas.openxmlformats.org/officeDocument/2006/relationships/chart" Target="/xl/drawings/charts/chart4.xml" Id="Rc59ecb434ec2480e" /><Relationship Type="http://schemas.openxmlformats.org/officeDocument/2006/relationships/chart" Target="/xl/drawings/charts/chart5.xml" Id="Rb3f4b2870a8d45a5" /><Relationship Type="http://schemas.openxmlformats.org/officeDocument/2006/relationships/chart" Target="/xl/drawings/charts/chart6.xml" Id="Raaaae30fdffb49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Приращение Cy от приращения угла атаки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Расчёт M=0,8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'Графики'!$S$2:$S$8</c:f>
              <c:strCache>
                <c:ptCount val="0"/>
              </c:strCache>
            </c:strRef>
          </c:cat>
          <c:val>
            <c:numRef>
              <c:f>'Графики'!$T$2:$T$8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Книга M=0,8</c:v>
          </c:tx>
          <c:spPr>
            <a:ln xmlns:a="http://schemas.openxmlformats.org/drawingml/2006/main" w="14288">
              <a:solidFill>
                <a:srgbClr val="2F5597"/>
              </a:solidFill>
              <a:prstDash val="dash"/>
            </a:ln>
          </c:spPr>
          <c:marker>
            <c:symbol val="none"/>
          </c:marker>
          <c:cat>
            <c:strRef>
              <c:f>'Графики'!$S$2:$S$8</c:f>
              <c:strCache>
                <c:ptCount val="0"/>
              </c:strCache>
            </c:strRef>
          </c:cat>
          <c:val>
            <c:numRef>
              <c:f>'Графики'!$U$2:$U$8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Расчёт M=1,2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'Графики'!$S$2:$S$8</c:f>
              <c:strCache>
                <c:ptCount val="0"/>
              </c:strCache>
            </c:strRef>
          </c:cat>
          <c:val>
            <c:numRef>
              <c:f>'Графики'!$V$2:$V$8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Книга M=1,2</c:v>
          </c:tx>
          <c:spPr>
            <a:ln xmlns:a="http://schemas.openxmlformats.org/drawingml/2006/main" w="14288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'Графики'!$S$2:$S$8</c:f>
              <c:strCache>
                <c:ptCount val="0"/>
              </c:strCache>
            </c:strRef>
          </c:cat>
          <c:val>
            <c:numRef>
              <c:f>'Графики'!$W$2:$W$8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Расчёт M=1,7</c:v>
          </c:tx>
          <c:spPr>
            <a:ln xmlns:a="http://schemas.openxmlformats.org/drawingml/2006/main" w="21431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'Графики'!$S$2:$S$8</c:f>
              <c:strCache>
                <c:ptCount val="0"/>
              </c:strCache>
            </c:strRef>
          </c:cat>
          <c:val>
            <c:numRef>
              <c:f>'Графики'!$X$2:$X$8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Книга M=1,7</c:v>
          </c:tx>
          <c:spPr>
            <a:ln xmlns:a="http://schemas.openxmlformats.org/drawingml/2006/main" w="14288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strRef>
              <c:f>'Графики'!$S$2:$S$8</c:f>
              <c:strCache>
                <c:ptCount val="0"/>
              </c:strCache>
            </c:strRef>
          </c:cat>
          <c:val>
            <c:numRef>
              <c:f>'Графики'!$Y$2:$Y$8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Δα, град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ΔCy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Погрешность ΔCy относительно книги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Ошибка M=0,8, %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'Графики'!$AA$2:$AA$8</c:f>
              <c:strCache>
                <c:ptCount val="0"/>
              </c:strCache>
            </c:strRef>
          </c:cat>
          <c:val>
            <c:numRef>
              <c:f>'Графики'!$AB$2:$AB$8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Ошибка M=1,2, %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'Графики'!$AA$2:$AA$8</c:f>
              <c:strCache>
                <c:ptCount val="0"/>
              </c:strCache>
            </c:strRef>
          </c:cat>
          <c:val>
            <c:numRef>
              <c:f>'Графики'!$AC$2:$AC$8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Ошибка M=1,7, %</c:v>
          </c:tx>
          <c:spPr>
            <a:ln xmlns:a="http://schemas.openxmlformats.org/drawingml/2006/main" w="21431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'Графики'!$AA$2:$AA$8</c:f>
              <c:strCache>
                <c:ptCount val="0"/>
              </c:strCache>
            </c:strRef>
          </c:cat>
          <c:val>
            <c:numRef>
              <c:f>'Графики'!$AD$2:$AD$8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Δα, град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Ошибка, %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Приращение сопротивления ΔCx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ΔCx M=0,8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'Графики'!$AF$2:$AF$8</c:f>
              <c:strCache>
                <c:ptCount val="0"/>
              </c:strCache>
            </c:strRef>
          </c:cat>
          <c:val>
            <c:numRef>
              <c:f>'Графики'!$AG$2:$AG$8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ΔCx M=1,2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'Графики'!$AF$2:$AF$8</c:f>
              <c:strCache>
                <c:ptCount val="0"/>
              </c:strCache>
            </c:strRef>
          </c:cat>
          <c:val>
            <c:numRef>
              <c:f>'Графики'!$AH$2:$AH$8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ΔCx M=1,7</c:v>
          </c:tx>
          <c:spPr>
            <a:ln xmlns:a="http://schemas.openxmlformats.org/drawingml/2006/main" w="21431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'Графики'!$AF$2:$AF$8</c:f>
              <c:strCache>
                <c:ptCount val="0"/>
              </c:strCache>
            </c:strRef>
          </c:cat>
          <c:val>
            <c:numRef>
              <c:f>'Графики'!$AI$2:$AI$8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Δα, град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ΔCx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Остаточный момент ΔCMy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ΔCMy M=0,8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'Графики'!$AK$2:$AK$8</c:f>
              <c:strCache>
                <c:ptCount val="0"/>
              </c:strCache>
            </c:strRef>
          </c:cat>
          <c:val>
            <c:numRef>
              <c:f>'Графики'!$AL$2:$AL$8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ΔCMy M=1,2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'Графики'!$AK$2:$AK$8</c:f>
              <c:strCache>
                <c:ptCount val="0"/>
              </c:strCache>
            </c:strRef>
          </c:cat>
          <c:val>
            <c:numRef>
              <c:f>'Графики'!$AM$2:$AM$8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ΔCMy M=1,7</c:v>
          </c:tx>
          <c:spPr>
            <a:ln xmlns:a="http://schemas.openxmlformats.org/drawingml/2006/main" w="21431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'Графики'!$AK$2:$AK$8</c:f>
              <c:strCache>
                <c:ptCount val="0"/>
              </c:strCache>
            </c:strRef>
          </c:cat>
          <c:val>
            <c:numRef>
              <c:f>'Графики'!$AN$2:$AN$8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Δα, град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ΔCMy</a:t>
                </a:r>
              </a:p>
            </c:rich>
          </c:tx>
          <c:overlay val="0"/>
        </c:title>
        <c:numFmt formatCode="0.0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Cx0 в зависимости от числа M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Cx0 расчёт, полуэмп.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'Графики'!$AP$2:$AP$26</c:f>
              <c:strCache>
                <c:ptCount val="0"/>
              </c:strCache>
            </c:strRef>
          </c:cat>
          <c:val>
            <c:numRef>
              <c:f>'Графики'!$AQ$2:$AQ$26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Cx0 VSPAERO raw</c:v>
          </c:tx>
          <c:spPr>
            <a:ln xmlns:a="http://schemas.openxmlformats.org/drawingml/2006/main" w="21431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'Графики'!$AP$2:$AP$26</c:f>
              <c:strCache>
                <c:ptCount val="0"/>
              </c:strCache>
            </c:strRef>
          </c:cat>
          <c:val>
            <c:numRef>
              <c:f>'Графики'!$AR$2:$AR$26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Книга δнос=0°</c:v>
          </c:tx>
          <c:spPr>
            <a:ln xmlns:a="http://schemas.openxmlformats.org/drawingml/2006/main" w="14288">
              <a:solidFill>
                <a:srgbClr val="1F1F1F"/>
              </a:solidFill>
              <a:prstDash val="dash"/>
            </a:ln>
          </c:spPr>
          <c:marker>
            <c:symbol val="none"/>
          </c:marker>
          <c:cat>
            <c:strRef>
              <c:f>'Графики'!$AP$2:$AP$26</c:f>
              <c:strCache>
                <c:ptCount val="0"/>
              </c:strCache>
            </c:strRef>
          </c:cat>
          <c:val>
            <c:numRef>
              <c:f>'Графики'!$AS$2:$AS$26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Книга δнос=-20°</c:v>
          </c:tx>
          <c:spPr>
            <a:ln xmlns:a="http://schemas.openxmlformats.org/drawingml/2006/main" w="14288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'Графики'!$AP$2:$AP$26</c:f>
              <c:strCache>
                <c:ptCount val="0"/>
              </c:strCache>
            </c:strRef>
          </c:cat>
          <c:val>
            <c:numRef>
              <c:f>'Графики'!$AT$2:$AT$26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Cx0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Cyα = ΔCy / 1° в зависимости от числа M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Cyα расчёт, 1/°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'Графики'!$AV$2:$AV$26</c:f>
              <c:strCache>
                <c:ptCount val="0"/>
              </c:strCache>
            </c:strRef>
          </c:cat>
          <c:val>
            <c:numRef>
              <c:f>'Графики'!$AW$2:$AW$26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Книга без ракет</c:v>
          </c:tx>
          <c:spPr>
            <a:ln xmlns:a="http://schemas.openxmlformats.org/drawingml/2006/main" w="14288">
              <a:solidFill>
                <a:srgbClr val="1F1F1F"/>
              </a:solidFill>
              <a:prstDash val="dash"/>
            </a:ln>
          </c:spPr>
          <c:marker>
            <c:symbol val="none"/>
          </c:marker>
          <c:cat>
            <c:strRef>
              <c:f>'Графики'!$AV$2:$AV$26</c:f>
              <c:strCache>
                <c:ptCount val="0"/>
              </c:strCache>
            </c:strRef>
          </c:cat>
          <c:val>
            <c:numRef>
              <c:f>'Графики'!$AX$2:$AX$26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Книга с ракетами</c:v>
          </c:tx>
          <c:spPr>
            <a:ln xmlns:a="http://schemas.openxmlformats.org/drawingml/2006/main" w="14288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'Графики'!$AV$2:$AV$26</c:f>
              <c:strCache>
                <c:ptCount val="0"/>
              </c:strCache>
            </c:strRef>
          </c:cat>
          <c:val>
            <c:numRef>
              <c:f>'Графики'!$AY$2:$AY$26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Cyα, 1/°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46e4c88314480c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1925632af7418d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9afbb069ff47ad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9ecb434ec2480e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f4b2870a8d45a5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17</xdr:col>
      <xdr:colOff>0</xdr:colOff>
      <xdr:row>55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aae30fdffb490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026cc5d478439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</x:cols>
  <x:sheetData>
    <x:row r="1">
      <x:c r="A1" s="4" t="str">
        <x:v>RepairMach 9 — ночной расчёт и книжные зависимости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S1" t="str">
        <x:v>Δα, °</x:v>
      </x:c>
      <x:c r="T1" t="str">
        <x:v>Расчёт M=0,8</x:v>
      </x:c>
      <x:c r="U1" t="str">
        <x:v>Книга M=0,8</x:v>
      </x:c>
      <x:c r="V1" t="str">
        <x:v>Расчёт M=1,2</x:v>
      </x:c>
      <x:c r="W1" t="str">
        <x:v>Книга M=1,2</x:v>
      </x:c>
      <x:c r="X1" t="str">
        <x:v>Расчёт M=1,7</x:v>
      </x:c>
      <x:c r="Y1" t="str">
        <x:v>Книга M=1,7</x:v>
      </x:c>
      <x:c r="AA1" t="str">
        <x:v>Δα, °</x:v>
      </x:c>
      <x:c r="AB1" t="str">
        <x:v>Ошибка M=0,8, %</x:v>
      </x:c>
      <x:c r="AC1" t="str">
        <x:v>Ошибка M=1,2, %</x:v>
      </x:c>
      <x:c r="AD1" t="str">
        <x:v>Ошибка M=1,7, %</x:v>
      </x:c>
      <x:c r="AF1" t="str">
        <x:v>Δα, °</x:v>
      </x:c>
      <x:c r="AG1" t="str">
        <x:v>ΔCx M=0,8</x:v>
      </x:c>
      <x:c r="AH1" t="str">
        <x:v>ΔCx M=1,2</x:v>
      </x:c>
      <x:c r="AI1" t="str">
        <x:v>ΔCx M=1,7</x:v>
      </x:c>
      <x:c r="AK1" t="str">
        <x:v>Δα, °</x:v>
      </x:c>
      <x:c r="AL1" t="str">
        <x:v>ΔCMy M=0,8</x:v>
      </x:c>
      <x:c r="AM1" t="str">
        <x:v>ΔCMy M=1,2</x:v>
      </x:c>
      <x:c r="AN1" t="str">
        <x:v>ΔCMy M=1,7</x:v>
      </x:c>
      <x:c r="AP1" t="str">
        <x:v>M</x:v>
      </x:c>
      <x:c r="AQ1" t="str">
        <x:v>Cx0 расчёт, полуэмп.</x:v>
      </x:c>
      <x:c r="AR1" t="str">
        <x:v>Cx0 VSPAERO raw</x:v>
      </x:c>
      <x:c r="AS1" t="str">
        <x:v>Книга δнос=0°</x:v>
      </x:c>
      <x:c r="AT1" t="str">
        <x:v>Книга δнос=-20°</x:v>
      </x:c>
      <x:c r="AV1" t="str">
        <x:v>M</x:v>
      </x:c>
      <x:c r="AW1" t="str">
        <x:v>Cyα расчёт, 1/°</x:v>
      </x:c>
      <x:c r="AX1" t="str">
        <x:v>Книга без ракет</x:v>
      </x:c>
      <x:c r="AY1" t="str">
        <x:v>Книга с ракетами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AA2" t="n">
        <x:v>0</x:v>
      </x:c>
      <x:c r="AB2"/>
      <x:c r="AC2"/>
      <x:c r="AD2"/>
      <x:c r="AF2" t="n">
        <x:v>0</x:v>
      </x:c>
      <x:c r="AG2" t="n">
        <x:v>0</x:v>
      </x:c>
      <x:c r="AH2" t="n">
        <x:v>0</x:v>
      </x:c>
      <x:c r="AI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P2" t="n">
        <x:v>0</x:v>
      </x:c>
      <x:c r="AQ2" t="n">
        <x:v>0.020013316138377816</x:v>
      </x:c>
      <x:c r="AR2" t="n">
        <x:v>0.008390330957</x:v>
      </x:c>
      <x:c r="AS2"/>
      <x:c r="AT2"/>
      <x:c r="AV2" t="n">
        <x:v>0</x:v>
      </x:c>
      <x:c r="AW2" t="n">
        <x:v>0.04690681097222856</x:v>
      </x:c>
      <x:c r="AX2"/>
      <x:c r="AY2"/>
    </x:row>
    <x:row r="3">
      <x:c r="A3" s="7" t="str">
        <x:v>Все линии — редактируемые диаграммы Excel. Книжные кривые по числу M оцифрованы приближённо с изображений.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S3" t="n">
        <x:v>2</x:v>
      </x:c>
      <x:c r="T3" t="n">
        <x:v>0.11943276723799999</x:v>
      </x:c>
      <x:c r="U3" t="n">
        <x:v>0.115</x:v>
      </x:c>
      <x:c r="V3" t="n">
        <x:v>0.141921406014</x:v>
      </x:c>
      <x:c r="W3" t="n">
        <x:v>0.15840000000000004</x:v>
      </x:c>
      <x:c r="X3" t="n">
        <x:v>0.08282255328092945</x:v>
      </x:c>
      <x:c r="Y3" t="n">
        <x:v>0.08600000000000001</x:v>
      </x:c>
      <x:c r="AA3" t="n">
        <x:v>2</x:v>
      </x:c>
      <x:c r="AB3" t="n">
        <x:v>3.8545802069565083</x:v>
      </x:c>
      <x:c r="AC3" t="n">
        <x:v>-10.40315276893942</x:v>
      </x:c>
      <x:c r="AD3" t="n">
        <x:v>-3.694705487291341</x:v>
      </x:c>
      <x:c r="AF3" t="n">
        <x:v>2</x:v>
      </x:c>
      <x:c r="AG3" t="n">
        <x:v>0.00489952448</x:v>
      </x:c>
      <x:c r="AH3" t="n">
        <x:v>0.0037712299939999944</x:v>
      </x:c>
      <x:c r="AI3" t="n">
        <x:v>0.0030860214800000063</x:v>
      </x:c>
      <x:c r="AK3" t="n">
        <x:v>2</x:v>
      </x:c>
      <x:c r="AL3" t="n">
        <x:v>-6.843699999999999e-8</x:v>
      </x:c>
      <x:c r="AM3" t="n">
        <x:v>-0.00028312498599999996</x:v>
      </x:c>
      <x:c r="AN3" t="n">
        <x:v>0</x:v>
      </x:c>
      <x:c r="AP3" t="n">
        <x:v>0.1</x:v>
      </x:c>
      <x:c r="AQ3" t="n">
        <x:v>0.020003597497862527</x:v>
      </x:c>
      <x:c r="AR3" t="n">
        <x:v>0.008405200132</x:v>
      </x:c>
      <x:c r="AS3"/>
      <x:c r="AT3"/>
      <x:c r="AV3" t="n">
        <x:v>0.1</x:v>
      </x:c>
      <x:c r="AW3" t="n">
        <x:v>0.046985818221714284</x:v>
      </x:c>
      <x:c r="AX3"/>
      <x:c r="AY3"/>
    </x:row>
    <x:row r="4">
      <x:c r="S4" t="n">
        <x:v>4</x:v>
      </x:c>
      <x:c r="T4" t="n">
        <x:v>0.23738635103400002</x:v>
      </x:c>
      <x:c r="U4" t="n">
        <x:v>0.23000000000000004</x:v>
      </x:c>
      <x:c r="V4" t="n">
        <x:v>0.283712855867</x:v>
      </x:c>
      <x:c r="W4" t="n">
        <x:v>0.3168</x:v>
      </x:c>
      <x:c r="X4" t="n">
        <x:v>0.16564510656185893</x:v>
      </x:c>
      <x:c r="Y4" t="n">
        <x:v>0.172</x:v>
      </x:c>
      <x:c r="AA4" t="n">
        <x:v>4</x:v>
      </x:c>
      <x:c r="AB4" t="n">
        <x:v>3.2114569713043397</x:v>
      </x:c>
      <x:c r="AC4" t="n">
        <x:v>-10.44417428440657</x:v>
      </x:c>
      <x:c r="AD4" t="n">
        <x:v>-3.6947054872913094</x:v>
      </x:c>
      <x:c r="AF4" t="n">
        <x:v>4</x:v>
      </x:c>
      <x:c r="AG4" t="n">
        <x:v>0.009933335319000001</x:v>
      </x:c>
      <x:c r="AH4" t="n">
        <x:v>0.016271718588999992</x:v>
      </x:c>
      <x:c r="AI4" t="n">
        <x:v>0.013605520857000002</x:v>
      </x:c>
      <x:c r="AK4" t="n">
        <x:v>4</x:v>
      </x:c>
      <x:c r="AL4" t="n">
        <x:v>-6.14754e-7</x:v>
      </x:c>
      <x:c r="AM4" t="n">
        <x:v>-0.00043834380099999994</x:v>
      </x:c>
      <x:c r="AN4" t="n">
        <x:v>0</x:v>
      </x:c>
      <x:c r="AP4" t="n">
        <x:v>0.2</x:v>
      </x:c>
      <x:c r="AQ4" t="n">
        <x:v>0.02002754837208305</x:v>
      </x:c>
      <x:c r="AR4" t="n">
        <x:v>0.0084574985</x:v>
      </x:c>
      <x:c r="AS4"/>
      <x:c r="AT4"/>
      <x:c r="AV4" t="n">
        <x:v>0.2</x:v>
      </x:c>
      <x:c r="AW4" t="n">
        <x:v>0.047259241428971435</x:v>
      </x:c>
      <x:c r="AX4"/>
      <x:c r="AY4"/>
    </x:row>
    <x:row r="5">
      <x:c r="S5" t="n">
        <x:v>6</x:v>
      </x:c>
      <x:c r="T5" t="n">
        <x:v>0.35357575477400005</x:v>
      </x:c>
      <x:c r="U5" t="n">
        <x:v>0.34500000000000003</x:v>
      </x:c>
      <x:c r="V5" t="n">
        <x:v>0.42254824683900005</x:v>
      </x:c>
      <x:c r="W5" t="n">
        <x:v>0.4752000000000001</x:v>
      </x:c>
      <x:c r="X5" t="n">
        <x:v>0.24846765984278835</x:v>
      </x:c>
      <x:c r="Y5" t="n">
        <x:v>0.258</x:v>
      </x:c>
      <x:c r="AA5" t="n">
        <x:v>6</x:v>
      </x:c>
      <x:c r="AB5" t="n">
        <x:v>2.4857260214492816</x:v>
      </x:c>
      <x:c r="AC5" t="n">
        <x:v>-11.079914385732335</x:v>
      </x:c>
      <x:c r="AD5" t="n">
        <x:v>-3.6947054872913414</x:v>
      </x:c>
      <x:c r="AF5" t="n">
        <x:v>6</x:v>
      </x:c>
      <x:c r="AG5" t="n">
        <x:v>0.023377644736</x:v>
      </x:c>
      <x:c r="AH5" t="n">
        <x:v>0.03747411916799999</x:v>
      </x:c>
      <x:c r="AI5" t="n">
        <x:v>0.033276057792000005</x:v>
      </x:c>
      <x:c r="AK5" t="n">
        <x:v>6</x:v>
      </x:c>
      <x:c r="AL5" t="n">
        <x:v>-0.00000320281</x:v>
      </x:c>
      <x:c r="AM5" t="n">
        <x:v>-0.000409663864</x:v>
      </x:c>
      <x:c r="AN5" t="n">
        <x:v>0</x:v>
      </x:c>
      <x:c r="AP5" t="n">
        <x:v>0.3</x:v>
      </x:c>
      <x:c r="AQ5" t="n">
        <x:v>0.02008686901530145</x:v>
      </x:c>
      <x:c r="AR5" t="n">
        <x:v>0.008543040177</x:v>
      </x:c>
      <x:c r="AS5" t="n">
        <x:v>0.024</x:v>
      </x:c>
      <x:c r="AT5" t="n">
        <x:v>0.033</x:v>
      </x:c>
      <x:c r="AV5" t="n">
        <x:v>0.3</x:v>
      </x:c>
      <x:c r="AW5" t="n">
        <x:v>0.04773124074611429</x:v>
      </x:c>
      <x:c r="AX5" t="n">
        <x:v>0.067</x:v>
      </x:c>
      <x:c r="AY5" t="n">
        <x:v>0.067</x:v>
      </x:c>
    </x:row>
    <x:row r="6">
      <x:c r="S6" t="n">
        <x:v>8</x:v>
      </x:c>
      <x:c r="T6" t="n">
        <x:v>0.47474830420999997</x:v>
      </x:c>
      <x:c r="U6" t="n">
        <x:v>0.46</x:v>
      </x:c>
      <x:c r="V6" t="n">
        <x:v>0.558298148633</x:v>
      </x:c>
      <x:c r="W6" t="n">
        <x:v>0.6336</x:v>
      </x:c>
      <x:c r="X6" t="n">
        <x:v>0.3312902131237178</x:v>
      </x:c>
      <x:c r="Y6" t="n">
        <x:v>0.344</x:v>
      </x:c>
      <x:c r="AA6" t="n">
        <x:v>8</x:v>
      </x:c>
      <x:c r="AB6" t="n">
        <x:v>3.206153089130424</x:v>
      </x:c>
      <x:c r="AC6" t="n">
        <x:v>-11.884761895044202</x:v>
      </x:c>
      <x:c r="AD6" t="n">
        <x:v>-3.6947054872913254</x:v>
      </x:c>
      <x:c r="AF6" t="n">
        <x:v>8</x:v>
      </x:c>
      <x:c r="AG6" t="n">
        <x:v>0.039352164955</x:v>
      </x:c>
      <x:c r="AH6" t="n">
        <x:v>0.067264738677</x:v>
      </x:c>
      <x:c r="AI6" t="n">
        <x:v>0.064101292759</x:v>
      </x:c>
      <x:c r="AK6" t="n">
        <x:v>8</x:v>
      </x:c>
      <x:c r="AL6" t="n">
        <x:v>-0.000011180586000000001</x:v>
      </x:c>
      <x:c r="AM6" t="n">
        <x:v>-0.000674614106</x:v>
      </x:c>
      <x:c r="AN6" t="n">
        <x:v>0</x:v>
      </x:c>
      <x:c r="AP6" t="n">
        <x:v>0.4</x:v>
      </x:c>
      <x:c r="AQ6" t="n">
        <x:v>0.02017797636140328</x:v>
      </x:c>
      <x:c r="AR6" t="n">
        <x:v>0.008658770853</x:v>
      </x:c>
      <x:c r="AS6" t="n">
        <x:v>0.02375</x:v>
      </x:c>
      <x:c r="AT6" t="n">
        <x:v>0.0325</x:v>
      </x:c>
      <x:c r="AV6" t="n">
        <x:v>0.4</x:v>
      </x:c>
      <x:c r="AW6" t="n">
        <x:v>0.04834958632354286</x:v>
      </x:c>
      <x:c r="AX6" t="n">
        <x:v>0.069</x:v>
      </x:c>
      <x:c r="AY6" t="n">
        <x:v>0.069</x:v>
      </x:c>
    </x:row>
    <x:row r="7">
      <x:c r="S7" t="n">
        <x:v>10</x:v>
      </x:c>
      <x:c r="T7" t="n">
        <x:v>0.5882609252219999</x:v>
      </x:c>
      <x:c r="U7" t="n">
        <x:v>0.5750000000000001</x:v>
      </x:c>
      <x:c r="V7" t="n">
        <x:v>0.68959457653</x:v>
      </x:c>
      <x:c r="W7" t="n">
        <x:v>0.792</x:v>
      </x:c>
      <x:c r="X7" t="n">
        <x:v>0.4141127664046473</x:v>
      </x:c>
      <x:c r="Y7" t="n">
        <x:v>0.42999999999999994</x:v>
      </x:c>
      <x:c r="AA7" t="n">
        <x:v>10</x:v>
      </x:c>
      <x:c r="AB7" t="n">
        <x:v>2.3062478646956244</x:v>
      </x:c>
      <x:c r="AC7" t="n">
        <x:v>-12.929977710858589</x:v>
      </x:c>
      <x:c r="AD7" t="n">
        <x:v>-3.694705487291316</x:v>
      </x:c>
      <x:c r="AF7" t="n">
        <x:v>10</x:v>
      </x:c>
      <x:c r="AG7" t="n">
        <x:v>0.061078427473</x:v>
      </x:c>
      <x:c r="AH7" t="n">
        <x:v>0.10486345856200001</x:v>
      </x:c>
      <x:c r="AI7" t="n">
        <x:v>0.10952648862000001</x:v>
      </x:c>
      <x:c r="AK7" t="n">
        <x:v>10</x:v>
      </x:c>
      <x:c r="AL7" t="n">
        <x:v>-0.00001593525</x:v>
      </x:c>
      <x:c r="AM7" t="n">
        <x:v>-0.000272624858</x:v>
      </x:c>
      <x:c r="AN7" t="n">
        <x:v>0</x:v>
      </x:c>
      <x:c r="AP7" t="n">
        <x:v>0.5</x:v>
      </x:c>
      <x:c r="AQ7" t="n">
        <x:v>0.02033975094799074</x:v>
      </x:c>
      <x:c r="AR7" t="n">
        <x:v>0.008846798817</x:v>
      </x:c>
      <x:c r="AS7" t="n">
        <x:v>0.0235</x:v>
      </x:c>
      <x:c r="AT7" t="n">
        <x:v>0.032</x:v>
      </x:c>
      <x:c r="AV7" t="n">
        <x:v>0.5</x:v>
      </x:c>
      <x:c r="AW7" t="n">
        <x:v>0.049210469171</x:v>
      </x:c>
      <x:c r="AX7" t="n">
        <x:v>0.071</x:v>
      </x:c>
      <x:c r="AY7" t="n">
        <x:v>0.071</x:v>
      </x:c>
    </x:row>
    <x:row r="8">
      <x:c r="S8" t="n">
        <x:v>12</x:v>
      </x:c>
      <x:c r="T8" t="n">
        <x:v>0.6998370638209999</x:v>
      </x:c>
      <x:c r="U8" t="n">
        <x:v>0.6900000000000001</x:v>
      </x:c>
      <x:c r="V8" t="n">
        <x:v>0.815111715814</x:v>
      </x:c>
      <x:c r="W8" t="n">
        <x:v>0.9504000000000001</x:v>
      </x:c>
      <x:c r="X8" t="n">
        <x:v>0.49693531968557675</x:v>
      </x:c>
      <x:c r="Y8" t="n">
        <x:v>0.516</x:v>
      </x:c>
      <x:c r="AA8" t="n">
        <x:v>12</x:v>
      </x:c>
      <x:c r="AB8" t="n">
        <x:v>1.4256614233333047</x:v>
      </x:c>
      <x:c r="AC8" t="n">
        <x:v>-14.234878386574087</x:v>
      </x:c>
      <x:c r="AD8" t="n">
        <x:v>-3.6947054872913303</x:v>
      </x:c>
      <x:c r="AF8" t="n">
        <x:v>12</x:v>
      </x:c>
      <x:c r="AG8" t="n">
        <x:v>0.08345084106600001</x:v>
      </x:c>
      <x:c r="AH8" t="n">
        <x:v>0.15051469275200002</x:v>
      </x:c>
      <x:c r="AI8" t="n">
        <x:v>0.170471030224</x:v>
      </x:c>
      <x:c r="AK8" t="n">
        <x:v>12</x:v>
      </x:c>
      <x:c r="AL8" t="n">
        <x:v>-0.000011675047000000001</x:v>
      </x:c>
      <x:c r="AM8" t="n">
        <x:v>-0.000026098245000000003</x:v>
      </x:c>
      <x:c r="AN8" t="n">
        <x:v>0</x:v>
      </x:c>
      <x:c r="AP8" t="n">
        <x:v>0.6</x:v>
      </x:c>
      <x:c r="AQ8" t="n">
        <x:v>0.020598884266677126</x:v>
      </x:c>
      <x:c r="AR8" t="n">
        <x:v>0.009136832198</x:v>
      </x:c>
      <x:c r="AS8" t="n">
        <x:v>0.02325</x:v>
      </x:c>
      <x:c r="AT8" t="n">
        <x:v>0.0325</x:v>
      </x:c>
      <x:c r="AV8" t="n">
        <x:v>0.6</x:v>
      </x:c>
      <x:c r="AW8" t="n">
        <x:v>0.05050807087688571</x:v>
      </x:c>
      <x:c r="AX8" t="n">
        <x:v>0.074</x:v>
      </x:c>
      <x:c r="AY8" t="n">
        <x:v>0.074</x:v>
      </x:c>
    </x:row>
    <x:row r="9">
      <x:c r="AP9" t="n">
        <x:v>0.7</x:v>
      </x:c>
      <x:c r="AQ9" t="n">
        <x:v>0.021020763385078082</x:v>
      </x:c>
      <x:c r="AR9" t="n">
        <x:v>0.009582135496</x:v>
      </x:c>
      <x:c r="AS9" t="n">
        <x:v>0.023</x:v>
      </x:c>
      <x:c r="AT9" t="n">
        <x:v>0.033</x:v>
      </x:c>
      <x:c r="AV9" t="n">
        <x:v>0.7</x:v>
      </x:c>
      <x:c r="AW9" t="n">
        <x:v>0.05208390466162857</x:v>
      </x:c>
      <x:c r="AX9" t="n">
        <x:v>0.077</x:v>
      </x:c>
      <x:c r="AY9" t="n">
        <x:v>0.077</x:v>
      </x:c>
    </x:row>
    <x:row r="10">
      <x:c r="AP10" t="n">
        <x:v>0.8</x:v>
      </x:c>
      <x:c r="AQ10" t="n">
        <x:v>0.021854163008820125</x:v>
      </x:c>
      <x:c r="AR10" t="n">
        <x:v>0.010403439816</x:v>
      </x:c>
      <x:c r="AS10" t="n">
        <x:v>0.023</x:v>
      </x:c>
      <x:c r="AT10" t="n">
        <x:v>0.035</x:v>
      </x:c>
      <x:c r="AV10" t="n">
        <x:v>0.8</x:v>
      </x:c>
      <x:c r="AW10" t="n">
        <x:v>0.05429906561654286</x:v>
      </x:c>
      <x:c r="AX10" t="n">
        <x:v>0.0825</x:v>
      </x:c>
      <x:c r="AY10" t="n">
        <x:v>0.0825</x:v>
      </x:c>
    </x:row>
    <x:row r="11">
      <x:c r="AP11" t="n">
        <x:v>0.9</x:v>
      </x:c>
      <x:c r="AQ11"/>
      <x:c r="AR11"/>
      <x:c r="AS11" t="n">
        <x:v>0.027</x:v>
      </x:c>
      <x:c r="AT11" t="n">
        <x:v>0.039</x:v>
      </x:c>
      <x:c r="AV11" t="n">
        <x:v>0.9</x:v>
      </x:c>
      <x:c r="AW11"/>
      <x:c r="AX11" t="n">
        <x:v>0.088</x:v>
      </x:c>
      <x:c r="AY11" t="n">
        <x:v>0.088</x:v>
      </x:c>
    </x:row>
    <x:row r="12">
      <x:c r="AP12" t="n">
        <x:v>1</x:v>
      </x:c>
      <x:c r="AQ12"/>
      <x:c r="AR12"/>
      <x:c r="AS12" t="n">
        <x:v>0.041</x:v>
      </x:c>
      <x:c r="AT12" t="n">
        <x:v>0.041</x:v>
      </x:c>
      <x:c r="AV12" t="n">
        <x:v>1</x:v>
      </x:c>
      <x:c r="AW12"/>
      <x:c r="AX12" t="n">
        <x:v>0.098</x:v>
      </x:c>
      <x:c r="AY12" t="n">
        <x:v>0.096</x:v>
      </x:c>
    </x:row>
    <x:row r="13">
      <x:c r="AP13" t="n">
        <x:v>1.1</x:v>
      </x:c>
      <x:c r="AQ13"/>
      <x:c r="AR13"/>
      <x:c r="AS13" t="n">
        <x:v>0.048</x:v>
      </x:c>
      <x:c r="AT13" t="n">
        <x:v>0.048</x:v>
      </x:c>
      <x:c r="AV13" t="n">
        <x:v>1.1</x:v>
      </x:c>
      <x:c r="AW13" t="n">
        <x:v>0.06421820662382857</x:v>
      </x:c>
      <x:c r="AX13" t="n">
        <x:v>0.105</x:v>
      </x:c>
      <x:c r="AY13" t="n">
        <x:v>0.098</x:v>
      </x:c>
    </x:row>
    <x:row r="14">
      <x:c r="AP14" t="n">
        <x:v>1.2</x:v>
      </x:c>
      <x:c r="AQ14" t="n">
        <x:v>0.09193996308498201</x:v>
      </x:c>
      <x:c r="AR14" t="n">
        <x:v>0.081328407078</x:v>
      </x:c>
      <x:c r="AS14" t="n">
        <x:v>0.048</x:v>
      </x:c>
      <x:c r="AT14" t="n">
        <x:v>0.048</x:v>
      </x:c>
      <x:c r="AV14" t="n">
        <x:v>1.2</x:v>
      </x:c>
      <x:c r="AW14" t="n">
        <x:v>0.06775381984822856</x:v>
      </x:c>
      <x:c r="AX14" t="n">
        <x:v>0.1</x:v>
      </x:c>
      <x:c r="AY14" t="n">
        <x:v>0.094</x:v>
      </x:c>
    </x:row>
    <x:row r="15">
      <x:c r="AP15" t="n">
        <x:v>1.3</x:v>
      </x:c>
      <x:c r="AQ15" t="n">
        <x:v>0.07819724744949237</x:v>
      </x:c>
      <x:c r="AR15" t="n">
        <x:v>0.067529799993</x:v>
      </x:c>
      <x:c r="AS15" t="n">
        <x:v>0.0475</x:v>
      </x:c>
      <x:c r="AT15" t="n">
        <x:v>0.0475</x:v>
      </x:c>
      <x:c r="AV15" t="n">
        <x:v>1.3</x:v>
      </x:c>
      <x:c r="AW15" t="n">
        <x:v>0.06402389579245714</x:v>
      </x:c>
      <x:c r="AX15" t="n">
        <x:v>0.089</x:v>
      </x:c>
      <x:c r="AY15" t="n">
        <x:v>0.086</x:v>
      </x:c>
    </x:row>
    <x:row r="16">
      <x:c r="AP16" t="n">
        <x:v>1.4</x:v>
      </x:c>
      <x:c r="AQ16"/>
      <x:c r="AR16"/>
      <x:c r="AS16" t="n">
        <x:v>0.047</x:v>
      </x:c>
      <x:c r="AT16" t="n">
        <x:v>0.047</x:v>
      </x:c>
      <x:c r="AV16" t="n">
        <x:v>1.4</x:v>
      </x:c>
      <x:c r="AW16"/>
      <x:c r="AX16" t="n">
        <x:v>0.078</x:v>
      </x:c>
      <x:c r="AY16" t="n">
        <x:v>0.078</x:v>
      </x:c>
    </x:row>
    <x:row r="17">
      <x:c r="AP17" t="n">
        <x:v>1.5</x:v>
      </x:c>
      <x:c r="AQ17"/>
      <x:c r="AR17"/>
      <x:c r="AS17" t="n">
        <x:v>0.046</x:v>
      </x:c>
      <x:c r="AT17" t="n">
        <x:v>0.046</x:v>
      </x:c>
      <x:c r="AV17" t="n">
        <x:v>1.5</x:v>
      </x:c>
      <x:c r="AW17"/>
      <x:c r="AX17" t="n">
        <x:v>0.07</x:v>
      </x:c>
      <x:c r="AY17" t="n">
        <x:v>0.07</x:v>
      </x:c>
    </x:row>
    <x:row r="18">
      <x:c r="AP18" t="n">
        <x:v>1.6</x:v>
      </x:c>
      <x:c r="AQ18" t="n">
        <x:v>0.06048491516455134</x:v>
      </x:c>
      <x:c r="AR18" t="n">
        <x:v>0.04977572067</x:v>
      </x:c>
      <x:c r="AS18" t="n">
        <x:v>0.045</x:v>
      </x:c>
      <x:c r="AT18" t="n">
        <x:v>0.045</x:v>
      </x:c>
      <x:c r="AV18" t="n">
        <x:v>1.6</x:v>
      </x:c>
      <x:c r="AW18" t="n">
        <x:v>0.05605129414465714</x:v>
      </x:c>
      <x:c r="AX18" t="n">
        <x:v>0.0655</x:v>
      </x:c>
      <x:c r="AY18" t="n">
        <x:v>0.0655</x:v>
      </x:c>
    </x:row>
    <x:row r="19">
      <x:c r="AP19" t="n">
        <x:v>1.7</x:v>
      </x:c>
      <x:c r="AQ19" t="n">
        <x:v>0.05594714075211675</x:v>
      </x:c>
      <x:c r="AR19" t="n">
        <x:v>0.045256693588</x:v>
      </x:c>
      <x:c r="AS19" t="n">
        <x:v>0.044</x:v>
      </x:c>
      <x:c r="AT19" t="n">
        <x:v>0.044</x:v>
      </x:c>
      <x:c r="AV19" t="n">
        <x:v>1.7</x:v>
      </x:c>
      <x:c r="AW19" t="n">
        <x:v>0.054483000532514286</x:v>
      </x:c>
      <x:c r="AX19" t="n">
        <x:v>0.061</x:v>
      </x:c>
      <x:c r="AY19" t="n">
        <x:v>0.061</x:v>
      </x:c>
    </x:row>
    <x:row r="20">
      <x:c r="AP20" t="n">
        <x:v>1.8</x:v>
      </x:c>
      <x:c r="AQ20" t="n">
        <x:v>0.04987391483518766</x:v>
      </x:c>
      <x:c r="AR20" t="n">
        <x:v>0.039348718082</x:v>
      </x:c>
      <x:c r="AS20" t="n">
        <x:v>0.043</x:v>
      </x:c>
      <x:c r="AT20" t="n">
        <x:v>0.043</x:v>
      </x:c>
      <x:c r="AV20" t="n">
        <x:v>1.8</x:v>
      </x:c>
      <x:c r="AW20" t="n">
        <x:v>0.05446165911811429</x:v>
      </x:c>
      <x:c r="AX20" t="n">
        <x:v>0.057999999999999996</x:v>
      </x:c>
      <x:c r="AY20" t="n">
        <x:v>0.057999999999999996</x:v>
      </x:c>
    </x:row>
    <x:row r="21">
      <x:c r="AP21" t="n">
        <x:v>1.9</x:v>
      </x:c>
      <x:c r="AQ21" t="n">
        <x:v>0.05696002440214236</x:v>
      </x:c>
      <x:c r="AR21" t="n">
        <x:v>0.041061386134</x:v>
      </x:c>
      <x:c r="AS21" t="n">
        <x:v>0.042</x:v>
      </x:c>
      <x:c r="AT21" t="n">
        <x:v>0.042</x:v>
      </x:c>
      <x:c r="AV21" t="n">
        <x:v>1.9</x:v>
      </x:c>
      <x:c r="AW21" t="n">
        <x:v>0.06672725942945715</x:v>
      </x:c>
      <x:c r="AX21" t="n">
        <x:v>0.055</x:v>
      </x:c>
      <x:c r="AY21" t="n">
        <x:v>0.055</x:v>
      </x:c>
    </x:row>
    <x:row r="22">
      <x:c r="AP22" t="n">
        <x:v>2</x:v>
      </x:c>
      <x:c r="AQ22"/>
      <x:c r="AR22"/>
      <x:c r="AS22" t="n">
        <x:v>0.041</x:v>
      </x:c>
      <x:c r="AT22" t="n">
        <x:v>0.041</x:v>
      </x:c>
      <x:c r="AV22" t="n">
        <x:v>2</x:v>
      </x:c>
      <x:c r="AW22" t="n">
        <x:v>0.12764075135788572</x:v>
      </x:c>
      <x:c r="AX22" t="n">
        <x:v>0.052</x:v>
      </x:c>
      <x:c r="AY22" t="n">
        <x:v>0.052</x:v>
      </x:c>
    </x:row>
    <x:row r="23">
      <x:c r="AP23" t="n">
        <x:v>2.1</x:v>
      </x:c>
      <x:c r="AQ23" t="n">
        <x:v>0.10739539852352917</x:v>
      </x:c>
      <x:c r="AR23" t="n">
        <x:v>0.055037734376</x:v>
      </x:c>
      <x:c r="AS23" t="n">
        <x:v>0.04</x:v>
      </x:c>
      <x:c r="AT23" t="n">
        <x:v>0.04</x:v>
      </x:c>
      <x:c r="AV23" t="n">
        <x:v>2.1</x:v>
      </x:c>
      <x:c r="AW23" t="n">
        <x:v>0.12398790697611428</x:v>
      </x:c>
      <x:c r="AX23" t="n">
        <x:v>0.0495</x:v>
      </x:c>
      <x:c r="AY23" t="n">
        <x:v>0.0495</x:v>
      </x:c>
    </x:row>
    <x:row r="24">
      <x:c r="AP24" t="n">
        <x:v>2.2</x:v>
      </x:c>
      <x:c r="AQ24" t="n">
        <x:v>0.04212206370179289</x:v>
      </x:c>
      <x:c r="AR24" t="n">
        <x:v>0.031846108839</x:v>
      </x:c>
      <x:c r="AS24" t="n">
        <x:v>0.039</x:v>
      </x:c>
      <x:c r="AT24" t="n">
        <x:v>0.039</x:v>
      </x:c>
      <x:c r="AV24" t="n">
        <x:v>2.2</x:v>
      </x:c>
      <x:c r="AW24" t="n">
        <x:v>0.04110714354385714</x:v>
      </x:c>
      <x:c r="AX24" t="n">
        <x:v>0.047</x:v>
      </x:c>
      <x:c r="AY24" t="n">
        <x:v>0.047</x:v>
      </x:c>
    </x:row>
    <x:row r="25">
      <x:c r="AP25" t="n">
        <x:v>2.3</x:v>
      </x:c>
      <x:c r="AQ25"/>
      <x:c r="AR25"/>
      <x:c r="AS25" t="n">
        <x:v>0.038</x:v>
      </x:c>
      <x:c r="AT25" t="n">
        <x:v>0.038</x:v>
      </x:c>
      <x:c r="AV25" t="n">
        <x:v>2.3</x:v>
      </x:c>
      <x:c r="AW25"/>
      <x:c r="AX25" t="n">
        <x:v>0.0455</x:v>
      </x:c>
      <x:c r="AY25" t="n">
        <x:v>0.0455</x:v>
      </x:c>
    </x:row>
    <x:row r="26">
      <x:c r="AP26" t="n">
        <x:v>2.4</x:v>
      </x:c>
      <x:c r="AQ26"/>
      <x:c r="AR26"/>
      <x:c r="AS26" t="n">
        <x:v>0.037</x:v>
      </x:c>
      <x:c r="AT26" t="n">
        <x:v>0.037</x:v>
      </x:c>
      <x:c r="AV26" t="n">
        <x:v>2.4</x:v>
      </x:c>
      <x:c r="AW26"/>
      <x:c r="AX26" t="n">
        <x:v>0.044</x:v>
      </x:c>
      <x:c r="AY26" t="n">
        <x:v>0.044</x:v>
      </x:c>
    </x:row>
  </x:sheetData>
  <x:mergeCells>
    <x:mergeCell ref="A1:Q2"/>
    <x:mergeCell ref="A3:Q3"/>
  </x:mergeCells>
  <x:pageMargins left="0.7" right="0.7" top="0.75" bottom="0.75" header="0.3" footer="0.3"/>
  <x:drawing xmlns:r="http://schemas.openxmlformats.org/officeDocument/2006/relationships" r:id="Rab026cc5d478439d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1" hidden="0" customWidth="1"/>
  </x:cols>
  <x:sheetData>
    <x:row r="1">
      <x:c r="A1" s="4" t="str">
        <x:v>Ночной расчёт: коэффициенты и приращения по углу атаки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12" t="str">
        <x:v>M</x:v>
      </x:c>
      <x:c r="B2" s="12" t="str">
        <x:v>α, °</x:v>
      </x:c>
      <x:c r="C2" s="12" t="str">
        <x:v>Cy расчёт</x:v>
      </x:c>
      <x:c r="D2" s="12" t="str">
        <x:v>Cy книга</x:v>
      </x:c>
      <x:c r="E2" s="12" t="str">
        <x:v>Cx гибрид</x:v>
      </x:c>
      <x:c r="F2" s="12" t="str">
        <x:v>CMy</x:v>
      </x:c>
      <x:c r="G2" s="12" t="str">
        <x:v>Cy0 расчёт</x:v>
      </x:c>
      <x:c r="H2" s="12" t="str">
        <x:v>Cy0 книга</x:v>
      </x:c>
      <x:c r="I2" s="12" t="str">
        <x:v>Cx0</x:v>
      </x:c>
      <x:c r="J2" s="12" t="str">
        <x:v>CMy0</x:v>
      </x:c>
      <x:c r="K2" s="12" t="str">
        <x:v>ΔCy расчёт</x:v>
      </x:c>
      <x:c r="L2" s="12" t="str">
        <x:v>ΔCy книга</x:v>
      </x:c>
      <x:c r="M2" s="12" t="str">
        <x:v>Ошибка ΔCy</x:v>
      </x:c>
      <x:c r="N2" s="12" t="str">
        <x:v>ΔCx</x:v>
      </x:c>
      <x:c r="O2" s="12" t="str">
        <x:v>ΔCMy</x:v>
      </x:c>
      <x:c r="P2" s="12" t="str">
        <x:v>Статус</x:v>
      </x:c>
    </x:row>
    <x:row r="3">
      <x:c r="A3" s="20" t="n">
        <x:v>0.8</x:v>
      </x:c>
      <x:c r="B3" s="20" t="n">
        <x:v>0</x:v>
      </x:c>
      <x:c r="C3" s="21" t="n">
        <x:v>0.05</x:v>
      </x:c>
      <x:c r="D3" s="21" t="n">
        <x:v>0.05</x:v>
      </x:c>
      <x:c r="E3" s="21" t="n">
        <x:v>0.023</x:v>
      </x:c>
      <x:c r="F3" s="21" t="n">
        <x:v>6.8286e-8</x:v>
      </x:c>
      <x:c r="G3" s="21" t="n">
        <x:f>C3</x:f>
        <x:v>0.05</x:v>
      </x:c>
      <x:c r="H3" s="21" t="n">
        <x:f>D3</x:f>
        <x:v>0.05</x:v>
      </x:c>
      <x:c r="I3" s="21" t="n">
        <x:f>E3</x:f>
        <x:v>0.023</x:v>
      </x:c>
      <x:c r="J3" s="21" t="n">
        <x:f>F3</x:f>
        <x:v>6.8286e-8</x:v>
      </x:c>
      <x:c r="K3" s="21" t="n">
        <x:f>C3-G3</x:f>
        <x:v>0</x:v>
      </x:c>
      <x:c r="L3" s="21" t="n">
        <x:f>D3-H3</x:f>
        <x:v>0</x:v>
      </x:c>
      <x:c r="M3" s="22" t="str">
        <x:f>IF(B3=0,"",(K3-L3)/L3)</x:f>
      </x:c>
      <x:c r="N3" s="21" t="n">
        <x:f>E3-I3</x:f>
        <x:v>0</x:v>
      </x:c>
      <x:c r="O3" s="21" t="n">
        <x:f>F3-J3</x:f>
        <x:v>0</x:v>
      </x:c>
      <x:c r="P3" s="17" t="str">
        <x:v>База</x:v>
      </x:c>
    </x:row>
    <x:row r="4">
      <x:c r="A4" s="20" t="n">
        <x:v>0.8</x:v>
      </x:c>
      <x:c r="B4" s="20" t="n">
        <x:v>2</x:v>
      </x:c>
      <x:c r="C4" s="21" t="n">
        <x:v>0.169432767238</x:v>
      </x:c>
      <x:c r="D4" s="21" t="n">
        <x:v>0.165</x:v>
      </x:c>
      <x:c r="E4" s="21" t="n">
        <x:v>0.02789952448</x:v>
      </x:c>
      <x:c r="F4" s="21" t="n">
        <x:v>-1.51e-10</x:v>
      </x:c>
      <x:c r="G4" s="21" t="n">
        <x:f>C3</x:f>
        <x:v>0.05</x:v>
      </x:c>
      <x:c r="H4" s="21" t="n">
        <x:f>D3</x:f>
        <x:v>0.05</x:v>
      </x:c>
      <x:c r="I4" s="21" t="n">
        <x:f>E3</x:f>
        <x:v>0.023</x:v>
      </x:c>
      <x:c r="J4" s="21" t="n">
        <x:f>F3</x:f>
        <x:v>6.8286e-8</x:v>
      </x:c>
      <x:c r="K4" s="21" t="n">
        <x:f>C4-G4</x:f>
        <x:v>0.11943276723799999</x:v>
      </x:c>
      <x:c r="L4" s="21" t="n">
        <x:f>D4-H4</x:f>
        <x:v>0.115</x:v>
      </x:c>
      <x:c r="M4" s="22" t="n">
        <x:f>IF(B4=0,"",(K4-L4)/L4)</x:f>
        <x:v>0.03854580206956509</x:v>
      </x:c>
      <x:c r="N4" s="21" t="n">
        <x:f>E4-I4</x:f>
        <x:v>0.00489952448</x:v>
      </x:c>
      <x:c r="O4" s="21" t="n">
        <x:f>F4-J4</x:f>
        <x:v>-6.843699999999999e-8</x:v>
      </x:c>
      <x:c r="P4" s="18" t="str">
        <x:v>≤ 5%</x:v>
      </x:c>
    </x:row>
    <x:row r="5">
      <x:c r="A5" s="20" t="n">
        <x:v>0.8</x:v>
      </x:c>
      <x:c r="B5" s="20" t="n">
        <x:v>4</x:v>
      </x:c>
      <x:c r="C5" s="21" t="n">
        <x:v>0.287386351034</x:v>
      </x:c>
      <x:c r="D5" s="21" t="n">
        <x:v>0.28</x:v>
      </x:c>
      <x:c r="E5" s="21" t="n">
        <x:v>0.032933335319</x:v>
      </x:c>
      <x:c r="F5" s="21" t="n">
        <x:v>-5.46468e-7</x:v>
      </x:c>
      <x:c r="G5" s="21" t="n">
        <x:f>C3</x:f>
        <x:v>0.05</x:v>
      </x:c>
      <x:c r="H5" s="21" t="n">
        <x:f>D3</x:f>
        <x:v>0.05</x:v>
      </x:c>
      <x:c r="I5" s="21" t="n">
        <x:f>E3</x:f>
        <x:v>0.023</x:v>
      </x:c>
      <x:c r="J5" s="21" t="n">
        <x:f>F3</x:f>
        <x:v>6.8286e-8</x:v>
      </x:c>
      <x:c r="K5" s="21" t="n">
        <x:f>C5-G5</x:f>
        <x:v>0.23738635103400002</x:v>
      </x:c>
      <x:c r="L5" s="21" t="n">
        <x:f>D5-H5</x:f>
        <x:v>0.23000000000000004</x:v>
      </x:c>
      <x:c r="M5" s="22" t="n">
        <x:f>IF(B5=0,"",(K5-L5)/L5)</x:f>
        <x:v>0.0321145697130434</x:v>
      </x:c>
      <x:c r="N5" s="21" t="n">
        <x:f>E5-I5</x:f>
        <x:v>0.009933335319000001</x:v>
      </x:c>
      <x:c r="O5" s="21" t="n">
        <x:f>F5-J5</x:f>
        <x:v>-6.14754e-7</x:v>
      </x:c>
      <x:c r="P5" s="18" t="str">
        <x:v>≤ 5%</x:v>
      </x:c>
    </x:row>
    <x:row r="6">
      <x:c r="A6" s="20" t="n">
        <x:v>0.8</x:v>
      </x:c>
      <x:c r="B6" s="20" t="n">
        <x:v>6</x:v>
      </x:c>
      <x:c r="C6" s="21" t="n">
        <x:v>0.40357575477400004</x:v>
      </x:c>
      <x:c r="D6" s="21" t="n">
        <x:v>0.395</x:v>
      </x:c>
      <x:c r="E6" s="21" t="n">
        <x:v>0.046377644736</x:v>
      </x:c>
      <x:c r="F6" s="21" t="n">
        <x:v>-0.000003134524</x:v>
      </x:c>
      <x:c r="G6" s="21" t="n">
        <x:f>C3</x:f>
        <x:v>0.05</x:v>
      </x:c>
      <x:c r="H6" s="21" t="n">
        <x:f>D3</x:f>
        <x:v>0.05</x:v>
      </x:c>
      <x:c r="I6" s="21" t="n">
        <x:f>E3</x:f>
        <x:v>0.023</x:v>
      </x:c>
      <x:c r="J6" s="21" t="n">
        <x:f>F3</x:f>
        <x:v>6.8286e-8</x:v>
      </x:c>
      <x:c r="K6" s="21" t="n">
        <x:f>C6-G6</x:f>
        <x:v>0.35357575477400005</x:v>
      </x:c>
      <x:c r="L6" s="21" t="n">
        <x:f>D6-H6</x:f>
        <x:v>0.34500000000000003</x:v>
      </x:c>
      <x:c r="M6" s="22" t="n">
        <x:f>IF(B6=0,"",(K6-L6)/L6)</x:f>
        <x:v>0.024857260214492815</x:v>
      </x:c>
      <x:c r="N6" s="21" t="n">
        <x:f>E6-I6</x:f>
        <x:v>0.023377644736</x:v>
      </x:c>
      <x:c r="O6" s="21" t="n">
        <x:f>F6-J6</x:f>
        <x:v>-0.00000320281</x:v>
      </x:c>
      <x:c r="P6" s="18" t="str">
        <x:v>≤ 5%</x:v>
      </x:c>
    </x:row>
    <x:row r="7">
      <x:c r="A7" s="20" t="n">
        <x:v>0.8</x:v>
      </x:c>
      <x:c r="B7" s="20" t="n">
        <x:v>8</x:v>
      </x:c>
      <x:c r="C7" s="21" t="n">
        <x:v>0.52474830421</x:v>
      </x:c>
      <x:c r="D7" s="21" t="n">
        <x:v>0.51</x:v>
      </x:c>
      <x:c r="E7" s="21" t="n">
        <x:v>0.062352164955</x:v>
      </x:c>
      <x:c r="F7" s="21" t="n">
        <x:v>-0.0000111123</x:v>
      </x:c>
      <x:c r="G7" s="21" t="n">
        <x:f>C3</x:f>
        <x:v>0.05</x:v>
      </x:c>
      <x:c r="H7" s="21" t="n">
        <x:f>D3</x:f>
        <x:v>0.05</x:v>
      </x:c>
      <x:c r="I7" s="21" t="n">
        <x:f>E3</x:f>
        <x:v>0.023</x:v>
      </x:c>
      <x:c r="J7" s="21" t="n">
        <x:f>F3</x:f>
        <x:v>6.8286e-8</x:v>
      </x:c>
      <x:c r="K7" s="21" t="n">
        <x:f>C7-G7</x:f>
        <x:v>0.47474830420999997</x:v>
      </x:c>
      <x:c r="L7" s="21" t="n">
        <x:f>D7-H7</x:f>
        <x:v>0.46</x:v>
      </x:c>
      <x:c r="M7" s="22" t="n">
        <x:f>IF(B7=0,"",(K7-L7)/L7)</x:f>
        <x:v>0.032061530891304243</x:v>
      </x:c>
      <x:c r="N7" s="21" t="n">
        <x:f>E7-I7</x:f>
        <x:v>0.039352164955</x:v>
      </x:c>
      <x:c r="O7" s="21" t="n">
        <x:f>F7-J7</x:f>
        <x:v>-0.000011180586000000001</x:v>
      </x:c>
      <x:c r="P7" s="18" t="str">
        <x:v>≤ 5%</x:v>
      </x:c>
    </x:row>
    <x:row r="8">
      <x:c r="A8" s="20" t="n">
        <x:v>0.8</x:v>
      </x:c>
      <x:c r="B8" s="20" t="n">
        <x:v>10</x:v>
      </x:c>
      <x:c r="C8" s="21" t="n">
        <x:v>0.638260925222</x:v>
      </x:c>
      <x:c r="D8" s="21" t="n">
        <x:v>0.6250000000000001</x:v>
      </x:c>
      <x:c r="E8" s="21" t="n">
        <x:v>0.084078427473</x:v>
      </x:c>
      <x:c r="F8" s="21" t="n">
        <x:v>-0.000015866964</x:v>
      </x:c>
      <x:c r="G8" s="21" t="n">
        <x:f>C3</x:f>
        <x:v>0.05</x:v>
      </x:c>
      <x:c r="H8" s="21" t="n">
        <x:f>D3</x:f>
        <x:v>0.05</x:v>
      </x:c>
      <x:c r="I8" s="21" t="n">
        <x:f>E3</x:f>
        <x:v>0.023</x:v>
      </x:c>
      <x:c r="J8" s="21" t="n">
        <x:f>F3</x:f>
        <x:v>6.8286e-8</x:v>
      </x:c>
      <x:c r="K8" s="21" t="n">
        <x:f>C8-G8</x:f>
        <x:v>0.5882609252219999</x:v>
      </x:c>
      <x:c r="L8" s="21" t="n">
        <x:f>D8-H8</x:f>
        <x:v>0.5750000000000001</x:v>
      </x:c>
      <x:c r="M8" s="22" t="n">
        <x:f>IF(B8=0,"",(K8-L8)/L8)</x:f>
        <x:v>0.023062478646956243</x:v>
      </x:c>
      <x:c r="N8" s="21" t="n">
        <x:f>E8-I8</x:f>
        <x:v>0.061078427473</x:v>
      </x:c>
      <x:c r="O8" s="21" t="n">
        <x:f>F8-J8</x:f>
        <x:v>-0.00001593525</x:v>
      </x:c>
      <x:c r="P8" s="18" t="str">
        <x:v>≤ 5%</x:v>
      </x:c>
    </x:row>
    <x:row r="9">
      <x:c r="A9" s="20" t="n">
        <x:v>0.8</x:v>
      </x:c>
      <x:c r="B9" s="20" t="n">
        <x:v>12</x:v>
      </x:c>
      <x:c r="C9" s="21" t="n">
        <x:v>0.7498370638209999</x:v>
      </x:c>
      <x:c r="D9" s="21" t="n">
        <x:v>0.7400000000000001</x:v>
      </x:c>
      <x:c r="E9" s="21" t="n">
        <x:v>0.106450841066</x:v>
      </x:c>
      <x:c r="F9" s="21" t="n">
        <x:v>-0.000011606761</x:v>
      </x:c>
      <x:c r="G9" s="21" t="n">
        <x:f>C3</x:f>
        <x:v>0.05</x:v>
      </x:c>
      <x:c r="H9" s="21" t="n">
        <x:f>D3</x:f>
        <x:v>0.05</x:v>
      </x:c>
      <x:c r="I9" s="21" t="n">
        <x:f>E3</x:f>
        <x:v>0.023</x:v>
      </x:c>
      <x:c r="J9" s="21" t="n">
        <x:f>F3</x:f>
        <x:v>6.8286e-8</x:v>
      </x:c>
      <x:c r="K9" s="21" t="n">
        <x:f>C9-G9</x:f>
        <x:v>0.6998370638209999</x:v>
      </x:c>
      <x:c r="L9" s="21" t="n">
        <x:f>D9-H9</x:f>
        <x:v>0.6900000000000001</x:v>
      </x:c>
      <x:c r="M9" s="22" t="n">
        <x:f>IF(B9=0,"",(K9-L9)/L9)</x:f>
        <x:v>0.014256614233333046</x:v>
      </x:c>
      <x:c r="N9" s="21" t="n">
        <x:f>E9-I9</x:f>
        <x:v>0.08345084106600001</x:v>
      </x:c>
      <x:c r="O9" s="21" t="n">
        <x:f>F9-J9</x:f>
        <x:v>-0.000011675047000000001</x:v>
      </x:c>
      <x:c r="P9" s="18" t="str">
        <x:v>≤ 5%</x:v>
      </x:c>
    </x:row>
    <x:row r="10">
      <x:c r="A10" s="20" t="n">
        <x:v>1.2</x:v>
      </x:c>
      <x:c r="B10" s="20" t="n">
        <x:v>0</x:v>
      </x:c>
      <x:c r="C10" s="21" t="n">
        <x:v>0.05</x:v>
      </x:c>
      <x:c r="D10" s="21" t="n">
        <x:v>0.05</x:v>
      </x:c>
      <x:c r="E10" s="21" t="n">
        <x:v>0.048</x:v>
      </x:c>
      <x:c r="F10" s="21" t="n">
        <x:v>0.000272596928</x:v>
      </x:c>
      <x:c r="G10" s="21" t="n">
        <x:f>C10</x:f>
        <x:v>0.05</x:v>
      </x:c>
      <x:c r="H10" s="21" t="n">
        <x:f>D10</x:f>
        <x:v>0.05</x:v>
      </x:c>
      <x:c r="I10" s="21" t="n">
        <x:f>E10</x:f>
        <x:v>0.048</x:v>
      </x:c>
      <x:c r="J10" s="21" t="n">
        <x:f>F10</x:f>
        <x:v>0.000272596928</x:v>
      </x:c>
      <x:c r="K10" s="21" t="n">
        <x:f>C10-G10</x:f>
        <x:v>0</x:v>
      </x:c>
      <x:c r="L10" s="21" t="n">
        <x:f>D10-H10</x:f>
        <x:v>0</x:v>
      </x:c>
      <x:c r="M10" s="22" t="str">
        <x:f>IF(B10=0,"",(K10-L10)/L10)</x:f>
      </x:c>
      <x:c r="N10" s="21" t="n">
        <x:f>E10-I10</x:f>
        <x:v>0</x:v>
      </x:c>
      <x:c r="O10" s="21" t="n">
        <x:f>F10-J10</x:f>
        <x:v>0</x:v>
      </x:c>
      <x:c r="P10" s="17" t="str">
        <x:v>База</x:v>
      </x:c>
    </x:row>
    <x:row r="11">
      <x:c r="A11" s="20" t="n">
        <x:v>1.2</x:v>
      </x:c>
      <x:c r="B11" s="20" t="n">
        <x:v>2</x:v>
      </x:c>
      <x:c r="C11" s="21" t="n">
        <x:v>0.19192140601399998</x:v>
      </x:c>
      <x:c r="D11" s="21" t="n">
        <x:v>0.20840000000000003</x:v>
      </x:c>
      <x:c r="E11" s="21" t="n">
        <x:v>0.051771229993999995</x:v>
      </x:c>
      <x:c r="F11" s="21" t="n">
        <x:v>-0.000010528058</x:v>
      </x:c>
      <x:c r="G11" s="21" t="n">
        <x:f>C10</x:f>
        <x:v>0.05</x:v>
      </x:c>
      <x:c r="H11" s="21" t="n">
        <x:f>D10</x:f>
        <x:v>0.05</x:v>
      </x:c>
      <x:c r="I11" s="21" t="n">
        <x:f>E10</x:f>
        <x:v>0.048</x:v>
      </x:c>
      <x:c r="J11" s="21" t="n">
        <x:f>F10</x:f>
        <x:v>0.000272596928</x:v>
      </x:c>
      <x:c r="K11" s="21" t="n">
        <x:f>C11-G11</x:f>
        <x:v>0.141921406014</x:v>
      </x:c>
      <x:c r="L11" s="21" t="n">
        <x:f>D11-H11</x:f>
        <x:v>0.15840000000000004</x:v>
      </x:c>
      <x:c r="M11" s="22" t="n">
        <x:f>IF(B11=0,"",(K11-L11)/L11)</x:f>
        <x:v>-0.1040315276893942</x:v>
      </x:c>
      <x:c r="N11" s="21" t="n">
        <x:f>E11-I11</x:f>
        <x:v>0.0037712299939999944</x:v>
      </x:c>
      <x:c r="O11" s="21" t="n">
        <x:f>F11-J11</x:f>
        <x:v>-0.00028312498599999996</x:v>
      </x:c>
      <x:c r="P11" s="19" t="str">
        <x:v>5–15%</x:v>
      </x:c>
    </x:row>
    <x:row r="12">
      <x:c r="A12" s="20" t="n">
        <x:v>1.2</x:v>
      </x:c>
      <x:c r="B12" s="20" t="n">
        <x:v>4</x:v>
      </x:c>
      <x:c r="C12" s="21" t="n">
        <x:v>0.333712855867</x:v>
      </x:c>
      <x:c r="D12" s="21" t="n">
        <x:v>0.3668</x:v>
      </x:c>
      <x:c r="E12" s="21" t="n">
        <x:v>0.064271718589</x:v>
      </x:c>
      <x:c r="F12" s="21" t="n">
        <x:v>-0.000165746873</x:v>
      </x:c>
      <x:c r="G12" s="21" t="n">
        <x:f>C10</x:f>
        <x:v>0.05</x:v>
      </x:c>
      <x:c r="H12" s="21" t="n">
        <x:f>D10</x:f>
        <x:v>0.05</x:v>
      </x:c>
      <x:c r="I12" s="21" t="n">
        <x:f>E10</x:f>
        <x:v>0.048</x:v>
      </x:c>
      <x:c r="J12" s="21" t="n">
        <x:f>F10</x:f>
        <x:v>0.000272596928</x:v>
      </x:c>
      <x:c r="K12" s="21" t="n">
        <x:f>C12-G12</x:f>
        <x:v>0.283712855867</x:v>
      </x:c>
      <x:c r="L12" s="21" t="n">
        <x:f>D12-H12</x:f>
        <x:v>0.3168</x:v>
      </x:c>
      <x:c r="M12" s="22" t="n">
        <x:f>IF(B12=0,"",(K12-L12)/L12)</x:f>
        <x:v>-0.10444174284406568</x:v>
      </x:c>
      <x:c r="N12" s="21" t="n">
        <x:f>E12-I12</x:f>
        <x:v>0.016271718588999992</x:v>
      </x:c>
      <x:c r="O12" s="21" t="n">
        <x:f>F12-J12</x:f>
        <x:v>-0.00043834380099999994</x:v>
      </x:c>
      <x:c r="P12" s="19" t="str">
        <x:v>5–15%</x:v>
      </x:c>
    </x:row>
    <x:row r="13">
      <x:c r="A13" s="20" t="n">
        <x:v>1.2</x:v>
      </x:c>
      <x:c r="B13" s="20" t="n">
        <x:v>6</x:v>
      </x:c>
      <x:c r="C13" s="21" t="n">
        <x:v>0.47254824683900004</x:v>
      </x:c>
      <x:c r="D13" s="21" t="n">
        <x:v>0.5252000000000001</x:v>
      </x:c>
      <x:c r="E13" s="21" t="n">
        <x:v>0.08547411916799999</x:v>
      </x:c>
      <x:c r="F13" s="21" t="n">
        <x:v>-0.000137066936</x:v>
      </x:c>
      <x:c r="G13" s="21" t="n">
        <x:f>C10</x:f>
        <x:v>0.05</x:v>
      </x:c>
      <x:c r="H13" s="21" t="n">
        <x:f>D10</x:f>
        <x:v>0.05</x:v>
      </x:c>
      <x:c r="I13" s="21" t="n">
        <x:f>E10</x:f>
        <x:v>0.048</x:v>
      </x:c>
      <x:c r="J13" s="21" t="n">
        <x:f>F10</x:f>
        <x:v>0.000272596928</x:v>
      </x:c>
      <x:c r="K13" s="21" t="n">
        <x:f>C13-G13</x:f>
        <x:v>0.42254824683900005</x:v>
      </x:c>
      <x:c r="L13" s="21" t="n">
        <x:f>D13-H13</x:f>
        <x:v>0.4752000000000001</x:v>
      </x:c>
      <x:c r="M13" s="22" t="n">
        <x:f>IF(B13=0,"",(K13-L13)/L13)</x:f>
        <x:v>-0.11079914385732335</x:v>
      </x:c>
      <x:c r="N13" s="21" t="n">
        <x:f>E13-I13</x:f>
        <x:v>0.03747411916799999</x:v>
      </x:c>
      <x:c r="O13" s="21" t="n">
        <x:f>F13-J13</x:f>
        <x:v>-0.000409663864</x:v>
      </x:c>
      <x:c r="P13" s="19" t="str">
        <x:v>5–15%</x:v>
      </x:c>
    </x:row>
    <x:row r="14">
      <x:c r="A14" s="20" t="n">
        <x:v>1.2</x:v>
      </x:c>
      <x:c r="B14" s="20" t="n">
        <x:v>8</x:v>
      </x:c>
      <x:c r="C14" s="21" t="n">
        <x:v>0.608298148633</x:v>
      </x:c>
      <x:c r="D14" s="21" t="n">
        <x:v>0.6836000000000001</x:v>
      </x:c>
      <x:c r="E14" s="21" t="n">
        <x:v>0.115264738677</x:v>
      </x:c>
      <x:c r="F14" s="21" t="n">
        <x:v>-0.000402017178</x:v>
      </x:c>
      <x:c r="G14" s="21" t="n">
        <x:f>C10</x:f>
        <x:v>0.05</x:v>
      </x:c>
      <x:c r="H14" s="21" t="n">
        <x:f>D10</x:f>
        <x:v>0.05</x:v>
      </x:c>
      <x:c r="I14" s="21" t="n">
        <x:f>E10</x:f>
        <x:v>0.048</x:v>
      </x:c>
      <x:c r="J14" s="21" t="n">
        <x:f>F10</x:f>
        <x:v>0.000272596928</x:v>
      </x:c>
      <x:c r="K14" s="21" t="n">
        <x:f>C14-G14</x:f>
        <x:v>0.558298148633</x:v>
      </x:c>
      <x:c r="L14" s="21" t="n">
        <x:f>D14-H14</x:f>
        <x:v>0.6336</x:v>
      </x:c>
      <x:c r="M14" s="22" t="n">
        <x:f>IF(B14=0,"",(K14-L14)/L14)</x:f>
        <x:v>-0.11884761895044202</x:v>
      </x:c>
      <x:c r="N14" s="21" t="n">
        <x:f>E14-I14</x:f>
        <x:v>0.067264738677</x:v>
      </x:c>
      <x:c r="O14" s="21" t="n">
        <x:f>F14-J14</x:f>
        <x:v>-0.000674614106</x:v>
      </x:c>
      <x:c r="P14" s="19" t="str">
        <x:v>5–15%</x:v>
      </x:c>
    </x:row>
    <x:row r="15">
      <x:c r="A15" s="20" t="n">
        <x:v>1.2</x:v>
      </x:c>
      <x:c r="B15" s="20" t="n">
        <x:v>10</x:v>
      </x:c>
      <x:c r="C15" s="21" t="n">
        <x:v>0.73959457653</x:v>
      </x:c>
      <x:c r="D15" s="21" t="n">
        <x:v>0.8420000000000001</x:v>
      </x:c>
      <x:c r="E15" s="21" t="n">
        <x:v>0.152863458562</x:v>
      </x:c>
      <x:c r="F15" s="21" t="n">
        <x:v>-2.793e-8</x:v>
      </x:c>
      <x:c r="G15" s="21" t="n">
        <x:f>C10</x:f>
        <x:v>0.05</x:v>
      </x:c>
      <x:c r="H15" s="21" t="n">
        <x:f>D10</x:f>
        <x:v>0.05</x:v>
      </x:c>
      <x:c r="I15" s="21" t="n">
        <x:f>E10</x:f>
        <x:v>0.048</x:v>
      </x:c>
      <x:c r="J15" s="21" t="n">
        <x:f>F10</x:f>
        <x:v>0.000272596928</x:v>
      </x:c>
      <x:c r="K15" s="21" t="n">
        <x:f>C15-G15</x:f>
        <x:v>0.68959457653</x:v>
      </x:c>
      <x:c r="L15" s="21" t="n">
        <x:f>D15-H15</x:f>
        <x:v>0.792</x:v>
      </x:c>
      <x:c r="M15" s="22" t="n">
        <x:f>IF(B15=0,"",(K15-L15)/L15)</x:f>
        <x:v>-0.1292997771085859</x:v>
      </x:c>
      <x:c r="N15" s="21" t="n">
        <x:f>E15-I15</x:f>
        <x:v>0.10486345856200001</x:v>
      </x:c>
      <x:c r="O15" s="21" t="n">
        <x:f>F15-J15</x:f>
        <x:v>-0.000272624858</x:v>
      </x:c>
      <x:c r="P15" s="19" t="str">
        <x:v>5–15%</x:v>
      </x:c>
    </x:row>
    <x:row r="16">
      <x:c r="A16" s="20" t="n">
        <x:v>1.2</x:v>
      </x:c>
      <x:c r="B16" s="20" t="n">
        <x:v>12</x:v>
      </x:c>
      <x:c r="C16" s="21" t="n">
        <x:v>0.865111715814</x:v>
      </x:c>
      <x:c r="D16" s="21" t="n">
        <x:v>1.0004000000000002</x:v>
      </x:c>
      <x:c r="E16" s="21" t="n">
        <x:v>0.198514692752</x:v>
      </x:c>
      <x:c r="F16" s="21" t="n">
        <x:v>0.000246498683</x:v>
      </x:c>
      <x:c r="G16" s="21" t="n">
        <x:f>C10</x:f>
        <x:v>0.05</x:v>
      </x:c>
      <x:c r="H16" s="21" t="n">
        <x:f>D10</x:f>
        <x:v>0.05</x:v>
      </x:c>
      <x:c r="I16" s="21" t="n">
        <x:f>E10</x:f>
        <x:v>0.048</x:v>
      </x:c>
      <x:c r="J16" s="21" t="n">
        <x:f>F10</x:f>
        <x:v>0.000272596928</x:v>
      </x:c>
      <x:c r="K16" s="21" t="n">
        <x:f>C16-G16</x:f>
        <x:v>0.815111715814</x:v>
      </x:c>
      <x:c r="L16" s="21" t="n">
        <x:f>D16-H16</x:f>
        <x:v>0.9504000000000001</x:v>
      </x:c>
      <x:c r="M16" s="22" t="n">
        <x:f>IF(B16=0,"",(K16-L16)/L16)</x:f>
        <x:v>-0.14234878386574087</x:v>
      </x:c>
      <x:c r="N16" s="21" t="n">
        <x:f>E16-I16</x:f>
        <x:v>0.15051469275200002</x:v>
      </x:c>
      <x:c r="O16" s="21" t="n">
        <x:f>F16-J16</x:f>
        <x:v>-0.000026098245000000003</x:v>
      </x:c>
      <x:c r="P16" s="19" t="str">
        <x:v>5–15%</x:v>
      </x:c>
    </x:row>
    <x:row r="17">
      <x:c r="A17" s="20" t="n">
        <x:v>1.7</x:v>
      </x:c>
      <x:c r="B17" s="20" t="n">
        <x:v>0</x:v>
      </x:c>
      <x:c r="C17" s="21" t="n">
        <x:v>0.05</x:v>
      </x:c>
      <x:c r="D17" s="21" t="n">
        <x:v>0.05</x:v>
      </x:c>
      <x:c r="E17" s="21" t="n">
        <x:v>0.044</x:v>
      </x:c>
      <x:c r="F17" s="21" t="n">
        <x:v>0</x:v>
      </x:c>
      <x:c r="G17" s="21" t="n">
        <x:f>C17</x:f>
        <x:v>0.05</x:v>
      </x:c>
      <x:c r="H17" s="21" t="n">
        <x:f>D17</x:f>
        <x:v>0.05</x:v>
      </x:c>
      <x:c r="I17" s="21" t="n">
        <x:f>E17</x:f>
        <x:v>0.044</x:v>
      </x:c>
      <x:c r="J17" s="21" t="n">
        <x:f>F17</x:f>
        <x:v>0</x:v>
      </x:c>
      <x:c r="K17" s="21" t="n">
        <x:f>C17-G17</x:f>
        <x:v>0</x:v>
      </x:c>
      <x:c r="L17" s="21" t="n">
        <x:f>D17-H17</x:f>
        <x:v>0</x:v>
      </x:c>
      <x:c r="M17" s="22" t="str">
        <x:f>IF(B17=0,"",(K17-L17)/L17)</x:f>
      </x:c>
      <x:c r="N17" s="21" t="n">
        <x:f>E17-I17</x:f>
        <x:v>0</x:v>
      </x:c>
      <x:c r="O17" s="21" t="n">
        <x:f>F17-J17</x:f>
        <x:v>0</x:v>
      </x:c>
      <x:c r="P17" s="17" t="str">
        <x:v>База</x:v>
      </x:c>
    </x:row>
    <x:row r="18">
      <x:c r="A18" s="20" t="n">
        <x:v>1.7</x:v>
      </x:c>
      <x:c r="B18" s="20" t="n">
        <x:v>2</x:v>
      </x:c>
      <x:c r="C18" s="21" t="n">
        <x:v>0.13282255328092946</x:v>
      </x:c>
      <x:c r="D18" s="21" t="n">
        <x:v>0.136</x:v>
      </x:c>
      <x:c r="E18" s="21" t="n">
        <x:v>0.047086021480000004</x:v>
      </x:c>
      <x:c r="F18" s="21" t="n">
        <x:v>0</x:v>
      </x:c>
      <x:c r="G18" s="21" t="n">
        <x:f>C17</x:f>
        <x:v>0.05</x:v>
      </x:c>
      <x:c r="H18" s="21" t="n">
        <x:f>D17</x:f>
        <x:v>0.05</x:v>
      </x:c>
      <x:c r="I18" s="21" t="n">
        <x:f>E17</x:f>
        <x:v>0.044</x:v>
      </x:c>
      <x:c r="J18" s="21" t="n">
        <x:f>F17</x:f>
        <x:v>0</x:v>
      </x:c>
      <x:c r="K18" s="21" t="n">
        <x:f>C18-G18</x:f>
        <x:v>0.08282255328092945</x:v>
      </x:c>
      <x:c r="L18" s="21" t="n">
        <x:f>D18-H18</x:f>
        <x:v>0.08600000000000001</x:v>
      </x:c>
      <x:c r="M18" s="22" t="n">
        <x:f>IF(B18=0,"",(K18-L18)/L18)</x:f>
        <x:v>-0.03694705487291341</x:v>
      </x:c>
      <x:c r="N18" s="21" t="n">
        <x:f>E18-I18</x:f>
        <x:v>0.0030860214800000063</x:v>
      </x:c>
      <x:c r="O18" s="21" t="n">
        <x:f>F18-J18</x:f>
        <x:v>0</x:v>
      </x:c>
      <x:c r="P18" s="18" t="str">
        <x:v>≤ 5%</x:v>
      </x:c>
    </x:row>
    <x:row r="19">
      <x:c r="A19" s="20" t="n">
        <x:v>1.7</x:v>
      </x:c>
      <x:c r="B19" s="20" t="n">
        <x:v>4</x:v>
      </x:c>
      <x:c r="C19" s="21" t="n">
        <x:v>0.21564510656185892</x:v>
      </x:c>
      <x:c r="D19" s="21" t="n">
        <x:v>0.22199999999999998</x:v>
      </x:c>
      <x:c r="E19" s="21" t="n">
        <x:v>0.057605520857</x:v>
      </x:c>
      <x:c r="F19" s="21" t="n">
        <x:v>0</x:v>
      </x:c>
      <x:c r="G19" s="21" t="n">
        <x:f>C17</x:f>
        <x:v>0.05</x:v>
      </x:c>
      <x:c r="H19" s="21" t="n">
        <x:f>D17</x:f>
        <x:v>0.05</x:v>
      </x:c>
      <x:c r="I19" s="21" t="n">
        <x:f>E17</x:f>
        <x:v>0.044</x:v>
      </x:c>
      <x:c r="J19" s="21" t="n">
        <x:f>F17</x:f>
        <x:v>0</x:v>
      </x:c>
      <x:c r="K19" s="21" t="n">
        <x:f>C19-G19</x:f>
        <x:v>0.16564510656185893</x:v>
      </x:c>
      <x:c r="L19" s="21" t="n">
        <x:f>D19-H19</x:f>
        <x:v>0.172</x:v>
      </x:c>
      <x:c r="M19" s="22" t="n">
        <x:f>IF(B19=0,"",(K19-L19)/L19)</x:f>
        <x:v>-0.036947054872913096</x:v>
      </x:c>
      <x:c r="N19" s="21" t="n">
        <x:f>E19-I19</x:f>
        <x:v>0.013605520857000002</x:v>
      </x:c>
      <x:c r="O19" s="21" t="n">
        <x:f>F19-J19</x:f>
        <x:v>0</x:v>
      </x:c>
      <x:c r="P19" s="18" t="str">
        <x:v>≤ 5%</x:v>
      </x:c>
    </x:row>
    <x:row r="20">
      <x:c r="A20" s="20" t="n">
        <x:v>1.7</x:v>
      </x:c>
      <x:c r="B20" s="20" t="n">
        <x:v>6</x:v>
      </x:c>
      <x:c r="C20" s="21" t="n">
        <x:v>0.29846765984278834</x:v>
      </x:c>
      <x:c r="D20" s="21" t="n">
        <x:v>0.308</x:v>
      </x:c>
      <x:c r="E20" s="21" t="n">
        <x:v>0.077276057792</x:v>
      </x:c>
      <x:c r="F20" s="21" t="n">
        <x:v>0</x:v>
      </x:c>
      <x:c r="G20" s="21" t="n">
        <x:f>C17</x:f>
        <x:v>0.05</x:v>
      </x:c>
      <x:c r="H20" s="21" t="n">
        <x:f>D17</x:f>
        <x:v>0.05</x:v>
      </x:c>
      <x:c r="I20" s="21" t="n">
        <x:f>E17</x:f>
        <x:v>0.044</x:v>
      </x:c>
      <x:c r="J20" s="21" t="n">
        <x:f>F17</x:f>
        <x:v>0</x:v>
      </x:c>
      <x:c r="K20" s="21" t="n">
        <x:f>C20-G20</x:f>
        <x:v>0.24846765984278835</x:v>
      </x:c>
      <x:c r="L20" s="21" t="n">
        <x:f>D20-H20</x:f>
        <x:v>0.258</x:v>
      </x:c>
      <x:c r="M20" s="22" t="n">
        <x:f>IF(B20=0,"",(K20-L20)/L20)</x:f>
        <x:v>-0.036947054872913415</x:v>
      </x:c>
      <x:c r="N20" s="21" t="n">
        <x:f>E20-I20</x:f>
        <x:v>0.033276057792000005</x:v>
      </x:c>
      <x:c r="O20" s="21" t="n">
        <x:f>F20-J20</x:f>
        <x:v>0</x:v>
      </x:c>
      <x:c r="P20" s="18" t="str">
        <x:v>≤ 5%</x:v>
      </x:c>
    </x:row>
    <x:row r="21">
      <x:c r="A21" s="20" t="n">
        <x:v>1.7</x:v>
      </x:c>
      <x:c r="B21" s="20" t="n">
        <x:v>8</x:v>
      </x:c>
      <x:c r="C21" s="21" t="n">
        <x:v>0.3812902131237178</x:v>
      </x:c>
      <x:c r="D21" s="21" t="n">
        <x:v>0.39399999999999996</x:v>
      </x:c>
      <x:c r="E21" s="21" t="n">
        <x:v>0.108101292759</x:v>
      </x:c>
      <x:c r="F21" s="21" t="n">
        <x:v>0</x:v>
      </x:c>
      <x:c r="G21" s="21" t="n">
        <x:f>C17</x:f>
        <x:v>0.05</x:v>
      </x:c>
      <x:c r="H21" s="21" t="n">
        <x:f>D17</x:f>
        <x:v>0.05</x:v>
      </x:c>
      <x:c r="I21" s="21" t="n">
        <x:f>E17</x:f>
        <x:v>0.044</x:v>
      </x:c>
      <x:c r="J21" s="21" t="n">
        <x:f>F17</x:f>
        <x:v>0</x:v>
      </x:c>
      <x:c r="K21" s="21" t="n">
        <x:f>C21-G21</x:f>
        <x:v>0.3312902131237178</x:v>
      </x:c>
      <x:c r="L21" s="21" t="n">
        <x:f>D21-H21</x:f>
        <x:v>0.344</x:v>
      </x:c>
      <x:c r="M21" s="22" t="n">
        <x:f>IF(B21=0,"",(K21-L21)/L21)</x:f>
        <x:v>-0.036947054872913256</x:v>
      </x:c>
      <x:c r="N21" s="21" t="n">
        <x:f>E21-I21</x:f>
        <x:v>0.064101292759</x:v>
      </x:c>
      <x:c r="O21" s="21" t="n">
        <x:f>F21-J21</x:f>
        <x:v>0</x:v>
      </x:c>
      <x:c r="P21" s="18" t="str">
        <x:v>≤ 5%</x:v>
      </x:c>
    </x:row>
    <x:row r="22">
      <x:c r="A22" s="20" t="n">
        <x:v>1.7</x:v>
      </x:c>
      <x:c r="B22" s="20" t="n">
        <x:v>10</x:v>
      </x:c>
      <x:c r="C22" s="21" t="n">
        <x:v>0.46411276640464727</x:v>
      </x:c>
      <x:c r="D22" s="21" t="n">
        <x:v>0.4799999999999999</x:v>
      </x:c>
      <x:c r="E22" s="21" t="n">
        <x:v>0.15352648862</x:v>
      </x:c>
      <x:c r="F22" s="21" t="n">
        <x:v>0</x:v>
      </x:c>
      <x:c r="G22" s="21" t="n">
        <x:f>C17</x:f>
        <x:v>0.05</x:v>
      </x:c>
      <x:c r="H22" s="21" t="n">
        <x:f>D17</x:f>
        <x:v>0.05</x:v>
      </x:c>
      <x:c r="I22" s="21" t="n">
        <x:f>E17</x:f>
        <x:v>0.044</x:v>
      </x:c>
      <x:c r="J22" s="21" t="n">
        <x:f>F17</x:f>
        <x:v>0</x:v>
      </x:c>
      <x:c r="K22" s="21" t="n">
        <x:f>C22-G22</x:f>
        <x:v>0.4141127664046473</x:v>
      </x:c>
      <x:c r="L22" s="21" t="n">
        <x:f>D22-H22</x:f>
        <x:v>0.42999999999999994</x:v>
      </x:c>
      <x:c r="M22" s="22" t="n">
        <x:f>IF(B22=0,"",(K22-L22)/L22)</x:f>
        <x:v>-0.03694705487291316</x:v>
      </x:c>
      <x:c r="N22" s="21" t="n">
        <x:f>E22-I22</x:f>
        <x:v>0.10952648862000001</x:v>
      </x:c>
      <x:c r="O22" s="21" t="n">
        <x:f>F22-J22</x:f>
        <x:v>0</x:v>
      </x:c>
      <x:c r="P22" s="18" t="str">
        <x:v>≤ 5%</x:v>
      </x:c>
    </x:row>
    <x:row r="23">
      <x:c r="A23" s="39" t="n">
        <x:v>1.7</x:v>
      </x:c>
      <x:c r="B23" s="39" t="n">
        <x:v>12</x:v>
      </x:c>
      <x:c r="C23" s="40" t="n">
        <x:v>0.5469353196855767</x:v>
      </x:c>
      <x:c r="D23" s="40" t="n">
        <x:v>0.5660000000000001</x:v>
      </x:c>
      <x:c r="E23" s="40" t="n">
        <x:v>0.214471030224</x:v>
      </x:c>
      <x:c r="F23" s="40" t="n">
        <x:v>0</x:v>
      </x:c>
      <x:c r="G23" s="40" t="n">
        <x:f>C17</x:f>
        <x:v>0.05</x:v>
      </x:c>
      <x:c r="H23" s="40" t="n">
        <x:f>D17</x:f>
        <x:v>0.05</x:v>
      </x:c>
      <x:c r="I23" s="40" t="n">
        <x:f>E17</x:f>
        <x:v>0.044</x:v>
      </x:c>
      <x:c r="J23" s="40" t="n">
        <x:f>F17</x:f>
        <x:v>0</x:v>
      </x:c>
      <x:c r="K23" s="40" t="n">
        <x:f>C23-G23</x:f>
        <x:v>0.49693531968557675</x:v>
      </x:c>
      <x:c r="L23" s="40" t="n">
        <x:f>D23-H23</x:f>
        <x:v>0.516</x:v>
      </x:c>
      <x:c r="M23" s="41" t="n">
        <x:f>IF(B23=0,"",(K23-L23)/L23)</x:f>
        <x:v>-0.036947054872913304</x:v>
      </x:c>
      <x:c r="N23" s="40" t="n">
        <x:f>E23-I23</x:f>
        <x:v>0.170471030224</x:v>
      </x:c>
      <x:c r="O23" s="40" t="n">
        <x:f>F23-J23</x:f>
        <x:v>0</x:v>
      </x:c>
      <x:c r="P23" s="42" t="str">
        <x:v>≤ 5%</x:v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8" hidden="0" customWidth="1"/>
  </x:cols>
  <x:sheetData>
    <x:row r="1">
      <x:c r="A1" s="4" t="str">
        <x:v>Маховые кривые ночного расчёта и сравнение с книжными значениями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2" t="str">
        <x:v>M</x:v>
      </x:c>
      <x:c r="B2" s="12" t="str">
        <x:v>Cyα расчёт, 1/°</x:v>
      </x:c>
      <x:c r="C2" s="12" t="str">
        <x:v>R² лин. аппрокс.</x:v>
      </x:c>
      <x:c r="D2" s="12" t="str">
        <x:v>Cyα для графика</x:v>
      </x:c>
      <x:c r="E2" s="12" t="str">
        <x:v>Cyα книга</x:v>
      </x:c>
      <x:c r="F2" s="12" t="str">
        <x:v>Ошибка Cyα</x:v>
      </x:c>
      <x:c r="G2" s="12" t="str">
        <x:v>Cx0 VSPAERO raw</x:v>
      </x:c>
      <x:c r="H2" s="12" t="str">
        <x:v>Cx0 полуэмп.</x:v>
      </x:c>
      <x:c r="I2" s="12" t="str">
        <x:v>Cx0 для графика</x:v>
      </x:c>
      <x:c r="J2" s="12" t="str">
        <x:v>Cx0 книга</x:v>
      </x:c>
      <x:c r="K2" s="12" t="str">
        <x:v>Ошибка Cx0</x:v>
      </x:c>
      <x:c r="L2" s="12" t="str">
        <x:v>Примечание</x:v>
      </x:c>
    </x:row>
    <x:row r="3" ht="28" customHeight="1">
      <x:c r="A3" s="24" t="n">
        <x:v>0</x:v>
      </x:c>
      <x:c r="B3" s="23" t="n">
        <x:v>0.04690681097222856</x:v>
      </x:c>
      <x:c r="C3" s="23" t="n">
        <x:v>0.9999894342597967</x:v>
      </x:c>
      <x:c r="D3" s="23" t="n">
        <x:v>0.04690681097222856</x:v>
      </x:c>
      <x:c r="E3" s="23"/>
      <x:c r="F3" s="25" t="str">
        <x:f>IF(OR(D3="",E3=""),"",(D3-E3)/E3)</x:f>
      </x:c>
      <x:c r="G3" s="23" t="n">
        <x:v>0.008390330957</x:v>
      </x:c>
      <x:c r="H3" s="23" t="n">
        <x:v>0.020013316138377816</x:v>
      </x:c>
      <x:c r="I3" s="23" t="n">
        <x:v>0.020013316138377816</x:v>
      </x:c>
      <x:c r="J3" s="23"/>
      <x:c r="K3" s="25" t="str">
        <x:f>IF(OR(I3="",J3=""),"",(I3-J3)/J3)</x:f>
      </x:c>
      <x:c r="L3" s="26" t="str"/>
    </x:row>
    <x:row r="4" ht="28" customHeight="1">
      <x:c r="A4" s="24" t="n">
        <x:v>0.1</x:v>
      </x:c>
      <x:c r="B4" s="23" t="n">
        <x:v>0.046985818221714284</x:v>
      </x:c>
      <x:c r="C4" s="23" t="n">
        <x:v>0.9999896680551764</x:v>
      </x:c>
      <x:c r="D4" s="23" t="n">
        <x:v>0.046985818221714284</x:v>
      </x:c>
      <x:c r="E4" s="23"/>
      <x:c r="F4" s="25" t="str">
        <x:f>IF(OR(D4="",E4=""),"",(D4-E4)/E4)</x:f>
      </x:c>
      <x:c r="G4" s="23" t="n">
        <x:v>0.008405200132</x:v>
      </x:c>
      <x:c r="H4" s="23" t="n">
        <x:v>0.020003597497862527</x:v>
      </x:c>
      <x:c r="I4" s="23" t="n">
        <x:v>0.020003597497862527</x:v>
      </x:c>
      <x:c r="J4" s="23"/>
      <x:c r="K4" s="25" t="str">
        <x:f>IF(OR(I4="",J4=""),"",(I4-J4)/J4)</x:f>
      </x:c>
      <x:c r="L4" s="26" t="str"/>
    </x:row>
    <x:row r="5" ht="28" customHeight="1">
      <x:c r="A5" s="24" t="n">
        <x:v>0.2</x:v>
      </x:c>
      <x:c r="B5" s="23" t="n">
        <x:v>0.047259241428971435</x:v>
      </x:c>
      <x:c r="C5" s="23" t="n">
        <x:v>0.9999906254844838</x:v>
      </x:c>
      <x:c r="D5" s="23" t="n">
        <x:v>0.047259241428971435</x:v>
      </x:c>
      <x:c r="E5" s="23"/>
      <x:c r="F5" s="25" t="str">
        <x:f>IF(OR(D5="",E5=""),"",(D5-E5)/E5)</x:f>
      </x:c>
      <x:c r="G5" s="23" t="n">
        <x:v>0.0084574985</x:v>
      </x:c>
      <x:c r="H5" s="23" t="n">
        <x:v>0.02002754837208305</x:v>
      </x:c>
      <x:c r="I5" s="23" t="n">
        <x:v>0.02002754837208305</x:v>
      </x:c>
      <x:c r="J5" s="23"/>
      <x:c r="K5" s="25" t="str">
        <x:f>IF(OR(I5="",J5=""),"",(I5-J5)/J5)</x:f>
      </x:c>
      <x:c r="L5" s="26" t="str"/>
    </x:row>
    <x:row r="6" ht="28" customHeight="1">
      <x:c r="A6" s="24" t="n">
        <x:v>0.3</x:v>
      </x:c>
      <x:c r="B6" s="23" t="n">
        <x:v>0.04773124074611429</x:v>
      </x:c>
      <x:c r="C6" s="23" t="n">
        <x:v>0.9999908065727647</x:v>
      </x:c>
      <x:c r="D6" s="23" t="n">
        <x:v>0.04773124074611429</x:v>
      </x:c>
      <x:c r="E6" s="23" t="n">
        <x:v>0.067</x:v>
      </x:c>
      <x:c r="F6" s="25" t="n">
        <x:f>IF(OR(D6="",E6=""),"",(D6-E6)/E6)</x:f>
        <x:v>-0.28759342169978674</x:v>
      </x:c>
      <x:c r="G6" s="23" t="n">
        <x:v>0.008543040177</x:v>
      </x:c>
      <x:c r="H6" s="23" t="n">
        <x:v>0.02008686901530145</x:v>
      </x:c>
      <x:c r="I6" s="23" t="n">
        <x:v>0.02008686901530145</x:v>
      </x:c>
      <x:c r="J6" s="23" t="n">
        <x:v>0.024</x:v>
      </x:c>
      <x:c r="K6" s="25" t="n">
        <x:f>IF(OR(I6="",J6=""),"",(I6-J6)/J6)</x:f>
        <x:v>-0.16304712436243954</x:v>
      </x:c>
      <x:c r="L6" s="26" t="str"/>
    </x:row>
    <x:row r="7" ht="28" customHeight="1">
      <x:c r="A7" s="24" t="n">
        <x:v>0.4</x:v>
      </x:c>
      <x:c r="B7" s="23" t="n">
        <x:v>0.04834958632354286</x:v>
      </x:c>
      <x:c r="C7" s="23" t="n">
        <x:v>0.9999948047962428</x:v>
      </x:c>
      <x:c r="D7" s="23" t="n">
        <x:v>0.04834958632354286</x:v>
      </x:c>
      <x:c r="E7" s="23" t="n">
        <x:v>0.069</x:v>
      </x:c>
      <x:c r="F7" s="25" t="n">
        <x:f>IF(OR(D7="",E7=""),"",(D7-E7)/E7)</x:f>
        <x:v>-0.29928135762981367</x:v>
      </x:c>
      <x:c r="G7" s="23" t="n">
        <x:v>0.008658770853</x:v>
      </x:c>
      <x:c r="H7" s="23" t="n">
        <x:v>0.02017797636140328</x:v>
      </x:c>
      <x:c r="I7" s="23" t="n">
        <x:v>0.02017797636140328</x:v>
      </x:c>
      <x:c r="J7" s="23" t="n">
        <x:v>0.02375</x:v>
      </x:c>
      <x:c r="K7" s="25" t="n">
        <x:f>IF(OR(I7="",J7=""),"",(I7-J7)/J7)</x:f>
        <x:v>-0.15040099530933562</x:v>
      </x:c>
      <x:c r="L7" s="26" t="str"/>
    </x:row>
    <x:row r="8" ht="28" customHeight="1">
      <x:c r="A8" s="24" t="n">
        <x:v>0.5</x:v>
      </x:c>
      <x:c r="B8" s="23" t="n">
        <x:v>0.049210469171</x:v>
      </x:c>
      <x:c r="C8" s="23" t="n">
        <x:v>0.9999974516555071</x:v>
      </x:c>
      <x:c r="D8" s="23" t="n">
        <x:v>0.049210469171</x:v>
      </x:c>
      <x:c r="E8" s="23" t="n">
        <x:v>0.071</x:v>
      </x:c>
      <x:c r="F8" s="25" t="n">
        <x:f>IF(OR(D8="",E8=""),"",(D8-E8)/E8)</x:f>
        <x:v>-0.3068948004084507</x:v>
      </x:c>
      <x:c r="G8" s="23" t="n">
        <x:v>0.008846798817</x:v>
      </x:c>
      <x:c r="H8" s="23" t="n">
        <x:v>0.02033975094799074</x:v>
      </x:c>
      <x:c r="I8" s="23" t="n">
        <x:v>0.02033975094799074</x:v>
      </x:c>
      <x:c r="J8" s="23" t="n">
        <x:v>0.0235</x:v>
      </x:c>
      <x:c r="K8" s="25" t="n">
        <x:f>IF(OR(I8="",J8=""),"",(I8-J8)/J8)</x:f>
        <x:v>-0.13447868306422375</x:v>
      </x:c>
      <x:c r="L8" s="26" t="str"/>
    </x:row>
    <x:row r="9" ht="28" customHeight="1">
      <x:c r="A9" s="24" t="n">
        <x:v>0.6</x:v>
      </x:c>
      <x:c r="B9" s="23" t="n">
        <x:v>0.05050807087688571</x:v>
      </x:c>
      <x:c r="C9" s="23" t="n">
        <x:v>0.9999953742394868</x:v>
      </x:c>
      <x:c r="D9" s="23" t="n">
        <x:v>0.05050807087688571</x:v>
      </x:c>
      <x:c r="E9" s="23" t="n">
        <x:v>0.074</x:v>
      </x:c>
      <x:c r="F9" s="25" t="n">
        <x:f>IF(OR(D9="",E9=""),"",(D9-E9)/E9)</x:f>
        <x:v>-0.31745850166370654</x:v>
      </x:c>
      <x:c r="G9" s="23" t="n">
        <x:v>0.009136832198</x:v>
      </x:c>
      <x:c r="H9" s="23" t="n">
        <x:v>0.020598884266677126</x:v>
      </x:c>
      <x:c r="I9" s="23" t="n">
        <x:v>0.020598884266677126</x:v>
      </x:c>
      <x:c r="J9" s="23" t="n">
        <x:v>0.02325</x:v>
      </x:c>
      <x:c r="K9" s="25" t="n">
        <x:f>IF(OR(I9="",J9=""),"",(I9-J9)/J9)</x:f>
        <x:v>-0.11402648315367199</x:v>
      </x:c>
      <x:c r="L9" s="26" t="str"/>
    </x:row>
    <x:row r="10" ht="28" customHeight="1">
      <x:c r="A10" s="24" t="n">
        <x:v>0.7</x:v>
      </x:c>
      <x:c r="B10" s="23" t="n">
        <x:v>0.05208390466162857</x:v>
      </x:c>
      <x:c r="C10" s="23" t="n">
        <x:v>0.9999909617880803</x:v>
      </x:c>
      <x:c r="D10" s="23" t="n">
        <x:v>0.05208390466162857</x:v>
      </x:c>
      <x:c r="E10" s="23" t="n">
        <x:v>0.077</x:v>
      </x:c>
      <x:c r="F10" s="25" t="n">
        <x:f>IF(OR(D10="",E10=""),"",(D10-E10)/E10)</x:f>
        <x:v>-0.32358565374508347</x:v>
      </x:c>
      <x:c r="G10" s="23" t="n">
        <x:v>0.009582135496</x:v>
      </x:c>
      <x:c r="H10" s="23" t="n">
        <x:v>0.021020763385078082</x:v>
      </x:c>
      <x:c r="I10" s="23" t="n">
        <x:v>0.021020763385078082</x:v>
      </x:c>
      <x:c r="J10" s="23" t="n">
        <x:v>0.023</x:v>
      </x:c>
      <x:c r="K10" s="25" t="n">
        <x:f>IF(OR(I10="",J10=""),"",(I10-J10)/J10)</x:f>
        <x:v>-0.08605376586617033</x:v>
      </x:c>
      <x:c r="L10" s="26" t="str"/>
    </x:row>
    <x:row r="11" ht="28" customHeight="1">
      <x:c r="A11" s="24" t="n">
        <x:v>0.8</x:v>
      </x:c>
      <x:c r="B11" s="23" t="n">
        <x:v>0.05429906561654286</x:v>
      </x:c>
      <x:c r="C11" s="23" t="n">
        <x:v>0.9999950958288489</x:v>
      </x:c>
      <x:c r="D11" s="23" t="n">
        <x:v>0.05429906561654286</x:v>
      </x:c>
      <x:c r="E11" s="23" t="n">
        <x:v>0.0825</x:v>
      </x:c>
      <x:c r="F11" s="25" t="n">
        <x:f>IF(OR(D11="",E11=""),"",(D11-E11)/E11)</x:f>
        <x:v>-0.3418295076782684</x:v>
      </x:c>
      <x:c r="G11" s="23" t="n">
        <x:v>0.010403439816</x:v>
      </x:c>
      <x:c r="H11" s="23" t="n">
        <x:v>0.021854163008820125</x:v>
      </x:c>
      <x:c r="I11" s="23" t="n">
        <x:v>0.021854163008820125</x:v>
      </x:c>
      <x:c r="J11" s="23" t="n">
        <x:v>0.023</x:v>
      </x:c>
      <x:c r="K11" s="25" t="n">
        <x:f>IF(OR(I11="",J11=""),"",(I11-J11)/J11)</x:f>
        <x:v>-0.049818999616516306</x:v>
      </x:c>
      <x:c r="L11" s="26" t="str"/>
    </x:row>
    <x:row r="12" ht="28" customHeight="1">
      <x:c r="A12" s="24" t="n">
        <x:v>1.1</x:v>
      </x:c>
      <x:c r="B12" s="23" t="n">
        <x:v>0.06421820662382857</x:v>
      </x:c>
      <x:c r="C12" s="23" t="n">
        <x:v>0.9993824149815533</x:v>
      </x:c>
      <x:c r="D12" s="23" t="n">
        <x:v>0.06421820662382857</x:v>
      </x:c>
      <x:c r="E12" s="23" t="n">
        <x:v>0.105</x:v>
      </x:c>
      <x:c r="F12" s="25" t="n">
        <x:f>IF(OR(D12="",E12=""),"",(D12-E12)/E12)</x:f>
        <x:v>-0.3883980321540136</x:v>
      </x:c>
      <x:c r="G12" s="23" t="n">
        <x:v>0.156156548605</x:v>
      </x:c>
      <x:c r="H12" s="23" t="n">
        <x:v>0.1690821428800854</x:v>
      </x:c>
      <x:c r="I12" s="23"/>
      <x:c r="J12" s="23" t="n">
        <x:v>0.048</x:v>
      </x:c>
      <x:c r="K12" s="25" t="str">
        <x:f>IF(OR(I12="",J12=""),"",(I12-J12)/J12)</x:f>
      </x:c>
      <x:c r="L12" s="27" t="str">
        <x:v>Cx0: выброс &gt; 0,12 или нет данных</x:v>
      </x:c>
    </x:row>
    <x:row r="13" ht="28" customHeight="1">
      <x:c r="A13" s="24" t="n">
        <x:v>1.2</x:v>
      </x:c>
      <x:c r="B13" s="23" t="n">
        <x:v>0.06775381984822856</x:v>
      </x:c>
      <x:c r="C13" s="23" t="n">
        <x:v>0.9999548865156468</x:v>
      </x:c>
      <x:c r="D13" s="23" t="n">
        <x:v>0.06775381984822856</x:v>
      </x:c>
      <x:c r="E13" s="23" t="n">
        <x:v>0.1</x:v>
      </x:c>
      <x:c r="F13" s="25" t="n">
        <x:f>IF(OR(D13="",E13=""),"",(D13-E13)/E13)</x:f>
        <x:v>-0.3224618015177144</x:v>
      </x:c>
      <x:c r="G13" s="23" t="n">
        <x:v>0.081328407078</x:v>
      </x:c>
      <x:c r="H13" s="23" t="n">
        <x:v>0.09193996308498201</x:v>
      </x:c>
      <x:c r="I13" s="23" t="n">
        <x:v>0.09193996308498201</x:v>
      </x:c>
      <x:c r="J13" s="23" t="n">
        <x:v>0.048</x:v>
      </x:c>
      <x:c r="K13" s="25" t="n">
        <x:f>IF(OR(I13="",J13=""),"",(I13-J13)/J13)</x:f>
        <x:v>0.9154158976037918</x:v>
      </x:c>
      <x:c r="L13" s="27" t="str">
        <x:v>Cx0: высокое значение, требует проверки</x:v>
      </x:c>
    </x:row>
    <x:row r="14" ht="28" customHeight="1">
      <x:c r="A14" s="24" t="n">
        <x:v>1.3</x:v>
      </x:c>
      <x:c r="B14" s="23" t="n">
        <x:v>0.06402389579245714</x:v>
      </x:c>
      <x:c r="C14" s="23" t="n">
        <x:v>0.9999738470890087</x:v>
      </x:c>
      <x:c r="D14" s="23" t="n">
        <x:v>0.06402389579245714</x:v>
      </x:c>
      <x:c r="E14" s="23" t="n">
        <x:v>0.089</x:v>
      </x:c>
      <x:c r="F14" s="25" t="n">
        <x:f>IF(OR(D14="",E14=""),"",(D14-E14)/E14)</x:f>
        <x:v>-0.2806303843544141</x:v>
      </x:c>
      <x:c r="G14" s="23" t="n">
        <x:v>0.067529799993</x:v>
      </x:c>
      <x:c r="H14" s="23" t="n">
        <x:v>0.07819724744949237</x:v>
      </x:c>
      <x:c r="I14" s="23" t="n">
        <x:v>0.07819724744949237</x:v>
      </x:c>
      <x:c r="J14" s="23" t="n">
        <x:v>0.0475</x:v>
      </x:c>
      <x:c r="K14" s="25" t="n">
        <x:f>IF(OR(I14="",J14=""),"",(I14-J14)/J14)</x:f>
        <x:v>0.6462578410419446</x:v>
      </x:c>
      <x:c r="L14" s="26" t="str"/>
    </x:row>
    <x:row r="15" ht="28" customHeight="1">
      <x:c r="A15" s="24" t="n">
        <x:v>1.4</x:v>
      </x:c>
      <x:c r="B15" s="23" t="str">
        <x:v>выброс 4.48e+37</x:v>
      </x:c>
      <x:c r="C15" s="23" t="n">
        <x:v>0.11230916319442708</x:v>
      </x:c>
      <x:c r="D15" s="23"/>
      <x:c r="E15" s="23" t="n">
        <x:v>0.078</x:v>
      </x:c>
      <x:c r="F15" s="25" t="str">
        <x:f>IF(OR(D15="",E15=""),"",(D15-E15)/E15)</x:f>
      </x:c>
      <x:c r="G15" s="23" t="str">
        <x:v>выброс 8.74e+10</x:v>
      </x:c>
      <x:c r="H15" s="23" t="str">
        <x:v>выброс 7.33e+36</x:v>
      </x:c>
      <x:c r="I15" s="23"/>
      <x:c r="J15" s="23" t="n">
        <x:v>0.047</x:v>
      </x:c>
      <x:c r="K15" s="25" t="str">
        <x:f>IF(OR(I15="",J15=""),"",(I15-J15)/J15)</x:f>
      </x:c>
      <x:c r="L15" s="27" t="str">
        <x:v>Cyα: исключено как недостоверное; Cx0: выброс &gt; 0,12 или нет данных</x:v>
      </x:c>
    </x:row>
    <x:row r="16" ht="28" customHeight="1">
      <x:c r="A16" s="24" t="n">
        <x:v>1.6</x:v>
      </x:c>
      <x:c r="B16" s="23" t="n">
        <x:v>0.05605129414465714</x:v>
      </x:c>
      <x:c r="C16" s="23" t="n">
        <x:v>0.9999075406796943</x:v>
      </x:c>
      <x:c r="D16" s="23" t="n">
        <x:v>0.05605129414465714</x:v>
      </x:c>
      <x:c r="E16" s="23" t="n">
        <x:v>0.0655</x:v>
      </x:c>
      <x:c r="F16" s="25" t="n">
        <x:f>IF(OR(D16="",E16=""),"",(D16-E16)/E16)</x:f>
        <x:v>-0.14425505122660856</x:v>
      </x:c>
      <x:c r="G16" s="23" t="n">
        <x:v>0.04977572067</x:v>
      </x:c>
      <x:c r="H16" s="23" t="n">
        <x:v>0.06048491516455134</x:v>
      </x:c>
      <x:c r="I16" s="23" t="n">
        <x:v>0.06048491516455134</x:v>
      </x:c>
      <x:c r="J16" s="23" t="n">
        <x:v>0.045</x:v>
      </x:c>
      <x:c r="K16" s="25" t="n">
        <x:f>IF(OR(I16="",J16=""),"",(I16-J16)/J16)</x:f>
        <x:v>0.3441092258789187</x:v>
      </x:c>
      <x:c r="L16" s="26" t="str"/>
    </x:row>
    <x:row r="17" ht="28" customHeight="1">
      <x:c r="A17" s="24" t="n">
        <x:v>1.7</x:v>
      </x:c>
      <x:c r="B17" s="23" t="n">
        <x:v>0.054483000532514286</x:v>
      </x:c>
      <x:c r="C17" s="23" t="n">
        <x:v>0.9997869339010154</x:v>
      </x:c>
      <x:c r="D17" s="23" t="n">
        <x:v>0.054483000532514286</x:v>
      </x:c>
      <x:c r="E17" s="23" t="n">
        <x:v>0.061</x:v>
      </x:c>
      <x:c r="F17" s="25" t="n">
        <x:f>IF(OR(D17="",E17=""),"",(D17-E17)/E17)</x:f>
        <x:v>-0.10683605684402807</x:v>
      </x:c>
      <x:c r="G17" s="23" t="n">
        <x:v>0.045256693588</x:v>
      </x:c>
      <x:c r="H17" s="23" t="n">
        <x:v>0.05594714075211675</x:v>
      </x:c>
      <x:c r="I17" s="23" t="n">
        <x:v>0.05594714075211675</x:v>
      </x:c>
      <x:c r="J17" s="23" t="n">
        <x:v>0.044</x:v>
      </x:c>
      <x:c r="K17" s="25" t="n">
        <x:f>IF(OR(I17="",J17=""),"",(I17-J17)/J17)</x:f>
        <x:v>0.2715259261844717</x:v>
      </x:c>
      <x:c r="L17" s="26" t="str"/>
    </x:row>
    <x:row r="18" ht="28" customHeight="1">
      <x:c r="A18" s="24" t="n">
        <x:v>1.8</x:v>
      </x:c>
      <x:c r="B18" s="23" t="n">
        <x:v>0.05446165911811429</x:v>
      </x:c>
      <x:c r="C18" s="23" t="n">
        <x:v>0.9999358897541623</x:v>
      </x:c>
      <x:c r="D18" s="23" t="n">
        <x:v>0.05446165911811429</x:v>
      </x:c>
      <x:c r="E18" s="23" t="n">
        <x:v>0.057999999999999996</x:v>
      </x:c>
      <x:c r="F18" s="25" t="n">
        <x:f>IF(OR(D18="",E18=""),"",(D18-E18)/E18)</x:f>
        <x:v>-0.06100587727389146</x:v>
      </x:c>
      <x:c r="G18" s="23" t="n">
        <x:v>0.039348718082</x:v>
      </x:c>
      <x:c r="H18" s="23" t="n">
        <x:v>0.04987391483518766</x:v>
      </x:c>
      <x:c r="I18" s="23" t="n">
        <x:v>0.04987391483518766</x:v>
      </x:c>
      <x:c r="J18" s="23" t="n">
        <x:v>0.043</x:v>
      </x:c>
      <x:c r="K18" s="25" t="n">
        <x:f>IF(OR(I18="",J18=""),"",(I18-J18)/J18)</x:f>
        <x:v>0.159858484539248</x:v>
      </x:c>
      <x:c r="L18" s="26" t="str"/>
    </x:row>
    <x:row r="19" ht="28" customHeight="1">
      <x:c r="A19" s="24" t="n">
        <x:v>1.9</x:v>
      </x:c>
      <x:c r="B19" s="23" t="n">
        <x:v>0.06672725942945715</x:v>
      </x:c>
      <x:c r="C19" s="23" t="n">
        <x:v>0.9986321379841141</x:v>
      </x:c>
      <x:c r="D19" s="23" t="n">
        <x:v>0.06672725942945715</x:v>
      </x:c>
      <x:c r="E19" s="23" t="n">
        <x:v>0.055</x:v>
      </x:c>
      <x:c r="F19" s="25" t="n">
        <x:f>IF(OR(D19="",E19=""),"",(D19-E19)/E19)</x:f>
        <x:v>0.2132228987174027</x:v>
      </x:c>
      <x:c r="G19" s="23" t="n">
        <x:v>0.041061386134</x:v>
      </x:c>
      <x:c r="H19" s="23" t="n">
        <x:v>0.05696002440214236</x:v>
      </x:c>
      <x:c r="I19" s="23" t="n">
        <x:v>0.05696002440214236</x:v>
      </x:c>
      <x:c r="J19" s="23" t="n">
        <x:v>0.042</x:v>
      </x:c>
      <x:c r="K19" s="25" t="n">
        <x:f>IF(OR(I19="",J19=""),"",(I19-J19)/J19)</x:f>
        <x:v>0.3561910571938656</x:v>
      </x:c>
      <x:c r="L19" s="26" t="str"/>
    </x:row>
    <x:row r="20" ht="28" customHeight="1">
      <x:c r="A20" s="24" t="n">
        <x:v>2</x:v>
      </x:c>
      <x:c r="B20" s="23" t="n">
        <x:v>0.12764075135788572</x:v>
      </x:c>
      <x:c r="C20" s="23" t="n">
        <x:v>0.9923241788841464</x:v>
      </x:c>
      <x:c r="D20" s="23" t="n">
        <x:v>0.12764075135788572</x:v>
      </x:c>
      <x:c r="E20" s="23" t="n">
        <x:v>0.052</x:v>
      </x:c>
      <x:c r="F20" s="25" t="n">
        <x:f>IF(OR(D20="",E20=""),"",(D20-E20)/E20)</x:f>
        <x:v>1.4546298338054948</x:v>
      </x:c>
      <x:c r="G20" s="23" t="n">
        <x:v>0.192578901235</x:v>
      </x:c>
      <x:c r="H20" s="23" t="n">
        <x:v>0.31795804752577844</x:v>
      </x:c>
      <x:c r="I20" s="23"/>
      <x:c r="J20" s="23" t="n">
        <x:v>0.041</x:v>
      </x:c>
      <x:c r="K20" s="25" t="str">
        <x:f>IF(OR(I20="",J20=""),"",(I20-J20)/J20)</x:f>
      </x:c>
      <x:c r="L20" s="27" t="str">
        <x:v>Cx0: выброс &gt; 0,12 или нет данных</x:v>
      </x:c>
    </x:row>
    <x:row r="21" ht="28" customHeight="1">
      <x:c r="A21" s="24" t="n">
        <x:v>2.1</x:v>
      </x:c>
      <x:c r="B21" s="23" t="n">
        <x:v>0.12398790697611428</x:v>
      </x:c>
      <x:c r="C21" s="23" t="n">
        <x:v>0.9878235863917533</x:v>
      </x:c>
      <x:c r="D21" s="23" t="n">
        <x:v>0.12398790697611428</x:v>
      </x:c>
      <x:c r="E21" s="23" t="n">
        <x:v>0.0495</x:v>
      </x:c>
      <x:c r="F21" s="25" t="n">
        <x:f>IF(OR(D21="",E21=""),"",(D21-E21)/E21)</x:f>
        <x:v>1.5048062015376622</x:v>
      </x:c>
      <x:c r="G21" s="23" t="n">
        <x:v>0.055037734376</x:v>
      </x:c>
      <x:c r="H21" s="23" t="n">
        <x:v>0.10739539852352917</x:v>
      </x:c>
      <x:c r="I21" s="23" t="n">
        <x:v>0.10739539852352917</x:v>
      </x:c>
      <x:c r="J21" s="23" t="n">
        <x:v>0.04</x:v>
      </x:c>
      <x:c r="K21" s="25" t="n">
        <x:f>IF(OR(I21="",J21=""),"",(I21-J21)/J21)</x:f>
        <x:v>1.684884963088229</x:v>
      </x:c>
      <x:c r="L21" s="27" t="str">
        <x:v>Cx0: высокое значение, требует проверки</x:v>
      </x:c>
    </x:row>
    <x:row r="22" ht="28" customHeight="1">
      <x:c r="A22" s="43" t="n">
        <x:v>2.2</x:v>
      </x:c>
      <x:c r="B22" s="44" t="n">
        <x:v>0.04110714354385714</x:v>
      </x:c>
      <x:c r="C22" s="44" t="n">
        <x:v>0.9998862402579612</x:v>
      </x:c>
      <x:c r="D22" s="44" t="n">
        <x:v>0.04110714354385714</x:v>
      </x:c>
      <x:c r="E22" s="44" t="n">
        <x:v>0.047</x:v>
      </x:c>
      <x:c r="F22" s="45" t="n">
        <x:f>IF(OR(D22="",E22=""),"",(D22-E22)/E22)</x:f>
        <x:v>-0.12537992459878428</x:v>
      </x:c>
      <x:c r="G22" s="44" t="n">
        <x:v>0.031846108839</x:v>
      </x:c>
      <x:c r="H22" s="44" t="n">
        <x:v>0.04212206370179289</x:v>
      </x:c>
      <x:c r="I22" s="44" t="n">
        <x:v>0.04212206370179289</x:v>
      </x:c>
      <x:c r="J22" s="44" t="n">
        <x:v>0.039</x:v>
      </x:c>
      <x:c r="K22" s="45" t="n">
        <x:f>IF(OR(I22="",J22=""),"",(I22-J22)/J22)</x:f>
        <x:v>0.0800529154305869</x:v>
      </x:c>
      <x:c r="L22" s="46" t="str"/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3" hidden="0" customWidth="1"/>
    <x:col min="5" max="5" width="9" hidden="0" customWidth="1"/>
    <x:col min="6" max="6" width="18" hidden="0" customWidth="1"/>
    <x:col min="7" max="7" width="18" hidden="0" customWidth="1"/>
    <x:col min="8" max="8" width="3" hidden="0" customWidth="1"/>
  </x:cols>
  <x:sheetData>
    <x:row r="1">
      <x:c r="A1" s="4" t="str">
        <x:v>Оцифрованные книжные кривые — приближённые точки</x:v>
      </x:c>
      <x:c r="B1" s="4"/>
      <x:c r="C1" s="4"/>
      <x:c r="D1" s="4"/>
      <x:c r="E1" s="4"/>
      <x:c r="F1" s="4"/>
      <x:c r="G1" s="4"/>
      <x:c r="H1" s="4"/>
    </x:row>
    <x:row r="2">
      <x:c r="A2" s="30" t="str">
        <x:v>Значения восстановлены визуально по двум предоставленным изображениям. Они пригодны для инженерного сравнения формы кривой, но не заменяют исходные табличные данные или точную цифровую оцифровку.</x:v>
      </x:c>
      <x:c r="B2" s="30"/>
      <x:c r="C2" s="30"/>
      <x:c r="D2" s="30"/>
      <x:c r="E2" s="30"/>
      <x:c r="F2" s="30"/>
      <x:c r="G2" s="30"/>
      <x:c r="H2" s="30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47"/>
      <x:c r="B4" s="47"/>
      <x:c r="C4" s="47"/>
      <x:c r="D4" s="47"/>
      <x:c r="E4" s="47"/>
      <x:c r="F4" s="47"/>
      <x:c r="G4" s="47"/>
      <x:c r="H4" s="47"/>
    </x:row>
    <x:row r="5">
      <x:c r="A5" s="12" t="str">
        <x:v>M</x:v>
      </x:c>
      <x:c r="B5" s="12" t="str">
        <x:v>Cyα без ракет</x:v>
      </x:c>
      <x:c r="C5" s="12" t="str">
        <x:v>Cyα с ракетами</x:v>
      </x:c>
      <x:c r="D5" s="47"/>
      <x:c r="E5" s="12" t="str">
        <x:v>M</x:v>
      </x:c>
      <x:c r="F5" s="12" t="str">
        <x:v>Cx0, δнос=0°</x:v>
      </x:c>
      <x:c r="G5" s="12" t="str">
        <x:v>Cx0, δнос=-20°</x:v>
      </x:c>
      <x:c r="H5" s="47"/>
    </x:row>
    <x:row r="6">
      <x:c r="A6" s="31" t="n">
        <x:v>0.3</x:v>
      </x:c>
      <x:c r="B6" s="31" t="n">
        <x:v>0.067</x:v>
      </x:c>
      <x:c r="C6" s="31" t="n">
        <x:v>0.067</x:v>
      </x:c>
      <x:c r="D6" s="31"/>
      <x:c r="E6" s="31" t="n">
        <x:v>0.3</x:v>
      </x:c>
      <x:c r="F6" s="31" t="n">
        <x:v>0.024</x:v>
      </x:c>
      <x:c r="G6" s="31" t="n">
        <x:v>0.033</x:v>
      </x:c>
      <x:c r="H6" s="47"/>
    </x:row>
    <x:row r="7">
      <x:c r="A7" s="31" t="n">
        <x:v>0.5</x:v>
      </x:c>
      <x:c r="B7" s="31" t="n">
        <x:v>0.071</x:v>
      </x:c>
      <x:c r="C7" s="31" t="n">
        <x:v>0.071</x:v>
      </x:c>
      <x:c r="D7" s="31"/>
      <x:c r="E7" s="31" t="n">
        <x:v>0.5</x:v>
      </x:c>
      <x:c r="F7" s="31" t="n">
        <x:v>0.0235</x:v>
      </x:c>
      <x:c r="G7" s="31" t="n">
        <x:v>0.032</x:v>
      </x:c>
      <x:c r="H7" s="47"/>
    </x:row>
    <x:row r="8">
      <x:c r="A8" s="31" t="n">
        <x:v>0.7</x:v>
      </x:c>
      <x:c r="B8" s="31" t="n">
        <x:v>0.077</x:v>
      </x:c>
      <x:c r="C8" s="31" t="n">
        <x:v>0.077</x:v>
      </x:c>
      <x:c r="D8" s="31"/>
      <x:c r="E8" s="31" t="n">
        <x:v>0.7</x:v>
      </x:c>
      <x:c r="F8" s="31" t="n">
        <x:v>0.023</x:v>
      </x:c>
      <x:c r="G8" s="31" t="n">
        <x:v>0.033</x:v>
      </x:c>
      <x:c r="H8" s="47"/>
    </x:row>
    <x:row r="9">
      <x:c r="A9" s="31" t="n">
        <x:v>0.9</x:v>
      </x:c>
      <x:c r="B9" s="31" t="n">
        <x:v>0.088</x:v>
      </x:c>
      <x:c r="C9" s="31" t="n">
        <x:v>0.088</x:v>
      </x:c>
      <x:c r="D9" s="31"/>
      <x:c r="E9" s="31" t="n">
        <x:v>0.8</x:v>
      </x:c>
      <x:c r="F9" s="31" t="n">
        <x:v>0.023</x:v>
      </x:c>
      <x:c r="G9" s="31" t="n">
        <x:v>0.035</x:v>
      </x:c>
      <x:c r="H9" s="47"/>
    </x:row>
    <x:row r="10">
      <x:c r="A10" s="31" t="n">
        <x:v>1</x:v>
      </x:c>
      <x:c r="B10" s="31" t="n">
        <x:v>0.098</x:v>
      </x:c>
      <x:c r="C10" s="31" t="n">
        <x:v>0.096</x:v>
      </x:c>
      <x:c r="D10" s="31"/>
      <x:c r="E10" s="31" t="n">
        <x:v>0.9</x:v>
      </x:c>
      <x:c r="F10" s="31" t="n">
        <x:v>0.027</x:v>
      </x:c>
      <x:c r="G10" s="31" t="n">
        <x:v>0.039</x:v>
      </x:c>
      <x:c r="H10" s="47"/>
    </x:row>
    <x:row r="11">
      <x:c r="A11" s="31" t="n">
        <x:v>1.1</x:v>
      </x:c>
      <x:c r="B11" s="31" t="n">
        <x:v>0.105</x:v>
      </x:c>
      <x:c r="C11" s="31" t="n">
        <x:v>0.098</x:v>
      </x:c>
      <x:c r="D11" s="31"/>
      <x:c r="E11" s="31" t="n">
        <x:v>1</x:v>
      </x:c>
      <x:c r="F11" s="31" t="n">
        <x:v>0.041</x:v>
      </x:c>
      <x:c r="G11" s="31" t="n">
        <x:v>0.041</x:v>
      </x:c>
      <x:c r="H11" s="47"/>
    </x:row>
    <x:row r="12">
      <x:c r="A12" s="31" t="n">
        <x:v>1.2</x:v>
      </x:c>
      <x:c r="B12" s="31" t="n">
        <x:v>0.1</x:v>
      </x:c>
      <x:c r="C12" s="31" t="n">
        <x:v>0.094</x:v>
      </x:c>
      <x:c r="D12" s="31"/>
      <x:c r="E12" s="31" t="n">
        <x:v>1.1</x:v>
      </x:c>
      <x:c r="F12" s="31" t="n">
        <x:v>0.048</x:v>
      </x:c>
      <x:c r="G12" s="31" t="n">
        <x:v>0.048</x:v>
      </x:c>
      <x:c r="H12" s="47"/>
    </x:row>
    <x:row r="13">
      <x:c r="A13" s="31" t="n">
        <x:v>1.3</x:v>
      </x:c>
      <x:c r="B13" s="31" t="n">
        <x:v>0.089</x:v>
      </x:c>
      <x:c r="C13" s="31" t="n">
        <x:v>0.086</x:v>
      </x:c>
      <x:c r="D13" s="31"/>
      <x:c r="E13" s="31" t="n">
        <x:v>1.2</x:v>
      </x:c>
      <x:c r="F13" s="31" t="n">
        <x:v>0.048</x:v>
      </x:c>
      <x:c r="G13" s="31" t="n">
        <x:v>0.048</x:v>
      </x:c>
      <x:c r="H13" s="47"/>
    </x:row>
    <x:row r="14">
      <x:c r="A14" s="31" t="n">
        <x:v>1.4</x:v>
      </x:c>
      <x:c r="B14" s="31" t="n">
        <x:v>0.078</x:v>
      </x:c>
      <x:c r="C14" s="31" t="n">
        <x:v>0.078</x:v>
      </x:c>
      <x:c r="D14" s="31"/>
      <x:c r="E14" s="31" t="n">
        <x:v>1.4</x:v>
      </x:c>
      <x:c r="F14" s="31" t="n">
        <x:v>0.047</x:v>
      </x:c>
      <x:c r="G14" s="31" t="n">
        <x:v>0.047</x:v>
      </x:c>
      <x:c r="H14" s="47"/>
    </x:row>
    <x:row r="15">
      <x:c r="A15" s="31" t="n">
        <x:v>1.5</x:v>
      </x:c>
      <x:c r="B15" s="31" t="n">
        <x:v>0.07</x:v>
      </x:c>
      <x:c r="C15" s="31" t="n">
        <x:v>0.07</x:v>
      </x:c>
      <x:c r="D15" s="31"/>
      <x:c r="E15" s="31" t="n">
        <x:v>1.6</x:v>
      </x:c>
      <x:c r="F15" s="31" t="n">
        <x:v>0.045</x:v>
      </x:c>
      <x:c r="G15" s="31" t="n">
        <x:v>0.045</x:v>
      </x:c>
      <x:c r="H15" s="47"/>
    </x:row>
    <x:row r="16">
      <x:c r="A16" s="31" t="n">
        <x:v>1.7</x:v>
      </x:c>
      <x:c r="B16" s="31" t="n">
        <x:v>0.061</x:v>
      </x:c>
      <x:c r="C16" s="31" t="n">
        <x:v>0.061</x:v>
      </x:c>
      <x:c r="D16" s="31"/>
      <x:c r="E16" s="31" t="n">
        <x:v>1.8</x:v>
      </x:c>
      <x:c r="F16" s="31" t="n">
        <x:v>0.043</x:v>
      </x:c>
      <x:c r="G16" s="31" t="n">
        <x:v>0.043</x:v>
      </x:c>
      <x:c r="H16" s="47"/>
    </x:row>
    <x:row r="17">
      <x:c r="A17" s="31" t="n">
        <x:v>2</x:v>
      </x:c>
      <x:c r="B17" s="31" t="n">
        <x:v>0.052</x:v>
      </x:c>
      <x:c r="C17" s="31" t="n">
        <x:v>0.052</x:v>
      </x:c>
      <x:c r="D17" s="31"/>
      <x:c r="E17" s="31" t="n">
        <x:v>2</x:v>
      </x:c>
      <x:c r="F17" s="31" t="n">
        <x:v>0.041</x:v>
      </x:c>
      <x:c r="G17" s="31" t="n">
        <x:v>0.041</x:v>
      </x:c>
      <x:c r="H17" s="47"/>
    </x:row>
    <x:row r="18">
      <x:c r="A18" s="31" t="n">
        <x:v>2.2</x:v>
      </x:c>
      <x:c r="B18" s="31" t="n">
        <x:v>0.047</x:v>
      </x:c>
      <x:c r="C18" s="31" t="n">
        <x:v>0.047</x:v>
      </x:c>
      <x:c r="D18" s="31"/>
      <x:c r="E18" s="31" t="n">
        <x:v>2.2</x:v>
      </x:c>
      <x:c r="F18" s="31" t="n">
        <x:v>0.039</x:v>
      </x:c>
      <x:c r="G18" s="31" t="n">
        <x:v>0.039</x:v>
      </x:c>
      <x:c r="H18" s="47"/>
    </x:row>
    <x:row r="19">
      <x:c r="A19" s="31" t="n">
        <x:v>2.4</x:v>
      </x:c>
      <x:c r="B19" s="31" t="n">
        <x:v>0.044</x:v>
      </x:c>
      <x:c r="C19" s="31" t="n">
        <x:v>0.044</x:v>
      </x:c>
      <x:c r="D19" s="31"/>
      <x:c r="E19" s="31" t="n">
        <x:v>2.4</x:v>
      </x:c>
      <x:c r="F19" s="31" t="n">
        <x:v>0.037</x:v>
      </x:c>
      <x:c r="G19" s="31" t="n">
        <x:v>0.037</x:v>
      </x:c>
      <x:c r="H19" s="47"/>
    </x:row>
    <x:row r="20">
      <x:c r="A20" s="47"/>
      <x:c r="B20" s="47"/>
      <x:c r="C20" s="47"/>
      <x:c r="D20" s="47"/>
      <x:c r="E20" s="47"/>
      <x:c r="F20" s="47"/>
      <x:c r="G20" s="47"/>
      <x:c r="H20" s="47"/>
    </x:row>
    <x:row r="21">
      <x:c r="A21" s="47"/>
      <x:c r="B21" s="47"/>
      <x:c r="C21" s="47"/>
      <x:c r="D21" s="47"/>
      <x:c r="E21" s="47"/>
      <x:c r="F21" s="47"/>
      <x:c r="G21" s="47"/>
      <x:c r="H21" s="47"/>
    </x:row>
    <x:row r="22">
      <x:c r="A22" s="33" t="str">
        <x:v>Источники изображений: codex-clipboard-986bfda7-1033-42c3-b95e-a1dd05036c22.png (Cyα) и codex-clipboard-c81ca384-dd02-43cb-b7c8-f49f7a1754ac.png (Cx0).</x:v>
      </x:c>
      <x:c r="B22" s="33"/>
      <x:c r="C22" s="33"/>
      <x:c r="D22" s="33"/>
      <x:c r="E22" s="33"/>
      <x:c r="F22" s="33"/>
      <x:c r="G22" s="33"/>
      <x:c r="H22" s="33"/>
    </x:row>
    <x:row r="23">
      <x:c r="A23" s="33"/>
      <x:c r="B23" s="33"/>
      <x:c r="C23" s="33"/>
      <x:c r="D23" s="33"/>
      <x:c r="E23" s="33"/>
      <x:c r="F23" s="33"/>
      <x:c r="G23" s="33"/>
      <x:c r="H23" s="33"/>
    </x:row>
    <x:row r="24">
      <x:c r="A24" s="33"/>
      <x:c r="B24" s="33"/>
      <x:c r="C24" s="33"/>
      <x:c r="D24" s="33"/>
      <x:c r="E24" s="33"/>
      <x:c r="F24" s="33"/>
      <x:c r="G24" s="33"/>
      <x:c r="H24" s="33"/>
    </x:row>
    <x:row r="25">
      <x:c r="A25" s="48"/>
      <x:c r="B25" s="48"/>
      <x:c r="C25" s="48"/>
      <x:c r="D25" s="48"/>
      <x:c r="E25" s="48"/>
      <x:c r="F25" s="48"/>
      <x:c r="G25" s="48"/>
      <x:c r="H25" s="48"/>
    </x:row>
  </x:sheetData>
  <x:mergeCells>
    <x:mergeCell ref="A1:H1"/>
    <x:mergeCell ref="A2:H3"/>
    <x:mergeCell ref="A22:H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12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</x:cols>
  <x:sheetData>
    <x:row r="1">
      <x:c r="A1" s="12" t="str">
        <x:v>mach</x:v>
      </x:c>
      <x:c r="B1" s="12" t="str">
        <x:v>alpha_deg</x:v>
      </x:c>
      <x:c r="C1" s="12" t="str">
        <x:v>raw_CL</x:v>
      </x:c>
      <x:c r="D1" s="12" t="str">
        <x:v>offset_corrected_CL</x:v>
      </x:c>
      <x:c r="E1" s="12" t="str">
        <x:v>book_CL</x:v>
      </x:c>
      <x:c r="F1" s="12" t="str">
        <x:v>corrected_CL_error_pct</x:v>
      </x:c>
      <x:c r="G1" s="12" t="str">
        <x:v>raw_CD</x:v>
      </x:c>
      <x:c r="H1" s="12" t="str">
        <x:v>hybrid_CD</x:v>
      </x:c>
      <x:c r="I1" s="12" t="str">
        <x:v>CMy</x:v>
      </x:c>
      <x:c r="J1" s="12" t="str">
        <x:v>source_prefix</x:v>
      </x:c>
    </x:row>
    <x:row r="2">
      <x:c r="A2" s="23" t="n">
        <x:v>0</x:v>
      </x:c>
      <x:c r="B2" s="23" t="n">
        <x:v>0</x:v>
      </x:c>
      <x:c r="C2" s="23" t="n">
        <x:v>0.017819646497</x:v>
      </x:c>
      <x:c r="D2" s="23" t="n">
        <x:v>0.017819646497</x:v>
      </x:c>
      <x:c r="E2" s="23" t="str"/>
      <x:c r="F2" s="23" t="str"/>
      <x:c r="G2" s="23" t="n">
        <x:v>0.008390330957</x:v>
      </x:c>
      <x:c r="H2" s="23" t="n">
        <x:v>0.008390330957</x:v>
      </x:c>
      <x:c r="I2" s="23" t="n">
        <x:v>0.014895345328</x:v>
      </x:c>
      <x:c r="J2" s="23" t="str">
        <x:v>subsonic_M0p0_0p8</x:v>
      </x:c>
    </x:row>
    <x:row r="3">
      <x:c r="A3" s="23" t="n">
        <x:v>0</x:v>
      </x:c>
      <x:c r="B3" s="23" t="n">
        <x:v>1</x:v>
      </x:c>
      <x:c r="C3" s="23" t="n">
        <x:v>0.064104504271</x:v>
      </x:c>
      <x:c r="D3" s="23" t="n">
        <x:v>0.064104504271</x:v>
      </x:c>
      <x:c r="E3" s="23" t="str"/>
      <x:c r="F3" s="23" t="str"/>
      <x:c r="G3" s="23" t="n">
        <x:v>0.009185164123</x:v>
      </x:c>
      <x:c r="H3" s="23" t="n">
        <x:v>0.009185164123</x:v>
      </x:c>
      <x:c r="I3" s="23" t="n">
        <x:v>-0.019886774993</x:v>
      </x:c>
      <x:c r="J3" s="23" t="str">
        <x:v>subsonic_M0p0_0p8</x:v>
      </x:c>
    </x:row>
    <x:row r="4">
      <x:c r="A4" s="23" t="n">
        <x:v>0</x:v>
      </x:c>
      <x:c r="B4" s="23" t="n">
        <x:v>2</x:v>
      </x:c>
      <x:c r="C4" s="23" t="n">
        <x:v>0.111254448021</x:v>
      </x:c>
      <x:c r="D4" s="23" t="n">
        <x:v>0.111254448021</x:v>
      </x:c>
      <x:c r="E4" s="23" t="str"/>
      <x:c r="F4" s="23" t="str"/>
      <x:c r="G4" s="23" t="n">
        <x:v>0.01074493484</x:v>
      </x:c>
      <x:c r="H4" s="23" t="n">
        <x:v>0.01074493484</x:v>
      </x:c>
      <x:c r="I4" s="23" t="n">
        <x:v>-0.056421411851</x:v>
      </x:c>
      <x:c r="J4" s="23" t="str">
        <x:v>subsonic_M0p0_0p8</x:v>
      </x:c>
    </x:row>
    <x:row r="5">
      <x:c r="A5" s="23" t="n">
        <x:v>0</x:v>
      </x:c>
      <x:c r="B5" s="23" t="n">
        <x:v>3</x:v>
      </x:c>
      <x:c r="C5" s="23" t="n">
        <x:v>0.158308918024</x:v>
      </x:c>
      <x:c r="D5" s="23" t="n">
        <x:v>0.158308918024</x:v>
      </x:c>
      <x:c r="E5" s="23" t="str"/>
      <x:c r="F5" s="23" t="str"/>
      <x:c r="G5" s="23" t="n">
        <x:v>0.013073451584</x:v>
      </x:c>
      <x:c r="H5" s="23" t="n">
        <x:v>0.013073451584</x:v>
      </x:c>
      <x:c r="I5" s="23" t="n">
        <x:v>-0.092905601025</x:v>
      </x:c>
      <x:c r="J5" s="23" t="str">
        <x:v>subsonic_M0p0_0p8</x:v>
      </x:c>
    </x:row>
    <x:row r="6">
      <x:c r="A6" s="23" t="n">
        <x:v>0</x:v>
      </x:c>
      <x:c r="B6" s="23" t="n">
        <x:v>4</x:v>
      </x:c>
      <x:c r="C6" s="23" t="n">
        <x:v>0.204798171751</x:v>
      </x:c>
      <x:c r="D6" s="23" t="n">
        <x:v>0.204798171751</x:v>
      </x:c>
      <x:c r="E6" s="23" t="str"/>
      <x:c r="F6" s="23" t="str"/>
      <x:c r="G6" s="23" t="n">
        <x:v>0.016084447923</x:v>
      </x:c>
      <x:c r="H6" s="23" t="n">
        <x:v>0.016084447923</x:v>
      </x:c>
      <x:c r="I6" s="23" t="n">
        <x:v>-0.129518986124</x:v>
      </x:c>
      <x:c r="J6" s="23" t="str">
        <x:v>subsonic_M0p0_0p8</x:v>
      </x:c>
    </x:row>
    <x:row r="7">
      <x:c r="A7" s="23" t="n">
        <x:v>0</x:v>
      </x:c>
      <x:c r="B7" s="23" t="n">
        <x:v>5</x:v>
      </x:c>
      <x:c r="C7" s="23" t="n">
        <x:v>0.252340228814</x:v>
      </x:c>
      <x:c r="D7" s="23" t="n">
        <x:v>0.252340228814</x:v>
      </x:c>
      <x:c r="E7" s="23" t="str"/>
      <x:c r="F7" s="23" t="str"/>
      <x:c r="G7" s="23" t="n">
        <x:v>0.019892020546</x:v>
      </x:c>
      <x:c r="H7" s="23" t="n">
        <x:v>0.019892020546</x:v>
      </x:c>
      <x:c r="I7" s="23" t="n">
        <x:v>-0.167831136446</x:v>
      </x:c>
      <x:c r="J7" s="23" t="str">
        <x:v>subsonic_M0p0_0p8</x:v>
      </x:c>
    </x:row>
    <x:row r="8">
      <x:c r="A8" s="23" t="n">
        <x:v>0.1</x:v>
      </x:c>
      <x:c r="B8" s="23" t="n">
        <x:v>0</x:v>
      </x:c>
      <x:c r="C8" s="23" t="n">
        <x:v>0.017743102194</x:v>
      </x:c>
      <x:c r="D8" s="23" t="n">
        <x:v>0.017743102194</x:v>
      </x:c>
      <x:c r="E8" s="23" t="str"/>
      <x:c r="F8" s="23" t="str"/>
      <x:c r="G8" s="23" t="n">
        <x:v>0.008405200132</x:v>
      </x:c>
      <x:c r="H8" s="23" t="n">
        <x:v>0.008405200132</x:v>
      </x:c>
      <x:c r="I8" s="23" t="n">
        <x:v>0.014856720802</x:v>
      </x:c>
      <x:c r="J8" s="23" t="str">
        <x:v>subsonic_M0p0_0p8</x:v>
      </x:c>
    </x:row>
    <x:row r="9">
      <x:c r="A9" s="23" t="n">
        <x:v>0.1</x:v>
      </x:c>
      <x:c r="B9" s="23" t="n">
        <x:v>1</x:v>
      </x:c>
      <x:c r="C9" s="23" t="n">
        <x:v>0.064116027654</x:v>
      </x:c>
      <x:c r="D9" s="23" t="n">
        <x:v>0.064116027654</x:v>
      </x:c>
      <x:c r="E9" s="23" t="str"/>
      <x:c r="F9" s="23" t="str"/>
      <x:c r="G9" s="23" t="n">
        <x:v>0.009202288638</x:v>
      </x:c>
      <x:c r="H9" s="23" t="n">
        <x:v>0.009202288638</x:v>
      </x:c>
      <x:c r="I9" s="23" t="n">
        <x:v>-0.020022908243</x:v>
      </x:c>
      <x:c r="J9" s="23" t="str">
        <x:v>subsonic_M0p0_0p8</x:v>
      </x:c>
    </x:row>
    <x:row r="10">
      <x:c r="A10" s="23" t="n">
        <x:v>0.1</x:v>
      </x:c>
      <x:c r="B10" s="23" t="n">
        <x:v>2</x:v>
      </x:c>
      <x:c r="C10" s="23" t="n">
        <x:v>0.111349739718</x:v>
      </x:c>
      <x:c r="D10" s="23" t="n">
        <x:v>0.111349739718</x:v>
      </x:c>
      <x:c r="E10" s="23" t="str"/>
      <x:c r="F10" s="23" t="str"/>
      <x:c r="G10" s="23" t="n">
        <x:v>0.010767561784</x:v>
      </x:c>
      <x:c r="H10" s="23" t="n">
        <x:v>0.010767561784</x:v>
      </x:c>
      <x:c r="I10" s="23" t="n">
        <x:v>-0.056637911543</x:v>
      </x:c>
      <x:c r="J10" s="23" t="str">
        <x:v>subsonic_M0p0_0p8</x:v>
      </x:c>
    </x:row>
    <x:row r="11">
      <x:c r="A11" s="23" t="n">
        <x:v>0.1</x:v>
      </x:c>
      <x:c r="B11" s="23" t="n">
        <x:v>3</x:v>
      </x:c>
      <x:c r="C11" s="23" t="n">
        <x:v>0.158482070383</x:v>
      </x:c>
      <x:c r="D11" s="23" t="n">
        <x:v>0.158482070383</x:v>
      </x:c>
      <x:c r="E11" s="23" t="str"/>
      <x:c r="F11" s="23" t="str"/>
      <x:c r="G11" s="23" t="n">
        <x:v>0.013105488839</x:v>
      </x:c>
      <x:c r="H11" s="23" t="n">
        <x:v>0.013105488839</x:v>
      </x:c>
      <x:c r="I11" s="23" t="n">
        <x:v>-0.0931925526</x:v>
      </x:c>
      <x:c r="J11" s="23" t="str">
        <x:v>subsonic_M0p0_0p8</x:v>
      </x:c>
    </x:row>
    <x:row r="12">
      <x:c r="A12" s="23" t="n">
        <x:v>0.1</x:v>
      </x:c>
      <x:c r="B12" s="23" t="n">
        <x:v>4</x:v>
      </x:c>
      <x:c r="C12" s="23" t="n">
        <x:v>0.205043576269</x:v>
      </x:c>
      <x:c r="D12" s="23" t="n">
        <x:v>0.205043576269</x:v>
      </x:c>
      <x:c r="E12" s="23" t="str"/>
      <x:c r="F12" s="23" t="str"/>
      <x:c r="G12" s="23" t="n">
        <x:v>0.016127512797</x:v>
      </x:c>
      <x:c r="H12" s="23" t="n">
        <x:v>0.016127512797</x:v>
      </x:c>
      <x:c r="I12" s="23" t="n">
        <x:v>-0.129874466775</x:v>
      </x:c>
      <x:c r="J12" s="23" t="str">
        <x:v>subsonic_M0p0_0p8</x:v>
      </x:c>
    </x:row>
    <x:row r="13">
      <x:c r="A13" s="23" t="n">
        <x:v>0.1</x:v>
      </x:c>
      <x:c r="B13" s="23" t="n">
        <x:v>5</x:v>
      </x:c>
      <x:c r="C13" s="23" t="n">
        <x:v>0.252660834444</x:v>
      </x:c>
      <x:c r="D13" s="23" t="n">
        <x:v>0.252660834444</x:v>
      </x:c>
      <x:c r="E13" s="23" t="str"/>
      <x:c r="F13" s="23" t="str"/>
      <x:c r="G13" s="23" t="n">
        <x:v>0.019948453728</x:v>
      </x:c>
      <x:c r="H13" s="23" t="n">
        <x:v>0.019948453728</x:v>
      </x:c>
      <x:c r="I13" s="23" t="n">
        <x:v>-0.168255724201</x:v>
      </x:c>
      <x:c r="J13" s="23" t="str">
        <x:v>subsonic_M0p0_0p8</x:v>
      </x:c>
    </x:row>
    <x:row r="14">
      <x:c r="A14" s="23" t="n">
        <x:v>0.2</x:v>
      </x:c>
      <x:c r="B14" s="23" t="n">
        <x:v>0</x:v>
      </x:c>
      <x:c r="C14" s="23" t="n">
        <x:v>0.017503319908</x:v>
      </x:c>
      <x:c r="D14" s="23" t="n">
        <x:v>0.017503319908</x:v>
      </x:c>
      <x:c r="E14" s="23" t="str"/>
      <x:c r="F14" s="23" t="str"/>
      <x:c r="G14" s="23" t="n">
        <x:v>0.0084574985</x:v>
      </x:c>
      <x:c r="H14" s="23" t="n">
        <x:v>0.0084574985</x:v>
      </x:c>
      <x:c r="I14" s="23" t="n">
        <x:v>0.014743113908</x:v>
      </x:c>
      <x:c r="J14" s="23" t="str">
        <x:v>subsonic_M0p0_0p8</x:v>
      </x:c>
    </x:row>
    <x:row r="15">
      <x:c r="A15" s="23" t="n">
        <x:v>0.2</x:v>
      </x:c>
      <x:c r="B15" s="23" t="n">
        <x:v>1</x:v>
      </x:c>
      <x:c r="C15" s="23" t="n">
        <x:v>0.064200415235</x:v>
      </x:c>
      <x:c r="D15" s="23" t="n">
        <x:v>0.064200415235</x:v>
      </x:c>
      <x:c r="E15" s="23" t="str"/>
      <x:c r="F15" s="23" t="str"/>
      <x:c r="G15" s="23" t="n">
        <x:v>0.009256567239</x:v>
      </x:c>
      <x:c r="H15" s="23" t="n">
        <x:v>0.009256567239</x:v>
      </x:c>
      <x:c r="I15" s="23" t="n">
        <x:v>-0.020498927471</x:v>
      </x:c>
      <x:c r="J15" s="23" t="str">
        <x:v>subsonic_M0p0_0p8</x:v>
      </x:c>
    </x:row>
    <x:row r="16">
      <x:c r="A16" s="23" t="n">
        <x:v>0.2</x:v>
      </x:c>
      <x:c r="B16" s="23" t="n">
        <x:v>2</x:v>
      </x:c>
      <x:c r="C16" s="23" t="n">
        <x:v>0.111707823386</x:v>
      </x:c>
      <x:c r="D16" s="23" t="n">
        <x:v>0.111707823386</x:v>
      </x:c>
      <x:c r="E16" s="23" t="str"/>
      <x:c r="F16" s="23" t="str"/>
      <x:c r="G16" s="23" t="n">
        <x:v>0.010838744114</x:v>
      </x:c>
      <x:c r="H16" s="23" t="n">
        <x:v>0.010838744114</x:v>
      </x:c>
      <x:c r="I16" s="23" t="n">
        <x:v>-0.057372448495</x:v>
      </x:c>
      <x:c r="J16" s="23" t="str">
        <x:v>subsonic_M0p0_0p8</x:v>
      </x:c>
    </x:row>
    <x:row r="17">
      <x:c r="A17" s="23" t="n">
        <x:v>0.2</x:v>
      </x:c>
      <x:c r="B17" s="23" t="n">
        <x:v>3</x:v>
      </x:c>
      <x:c r="C17" s="23" t="n">
        <x:v>0.159119014669</x:v>
      </x:c>
      <x:c r="D17" s="23" t="n">
        <x:v>0.159119014669</x:v>
      </x:c>
      <x:c r="E17" s="23" t="str"/>
      <x:c r="F17" s="23" t="str"/>
      <x:c r="G17" s="23" t="n">
        <x:v>0.013206024601</x:v>
      </x:c>
      <x:c r="H17" s="23" t="n">
        <x:v>0.013206024601</x:v>
      </x:c>
      <x:c r="I17" s="23" t="n">
        <x:v>-0.094212193094</x:v>
      </x:c>
      <x:c r="J17" s="23" t="str">
        <x:v>subsonic_M0p0_0p8</x:v>
      </x:c>
    </x:row>
    <x:row r="18">
      <x:c r="A18" s="23" t="n">
        <x:v>0.2</x:v>
      </x:c>
      <x:c r="B18" s="23" t="n">
        <x:v>4</x:v>
      </x:c>
      <x:c r="C18" s="23" t="n">
        <x:v>0.205923220257</x:v>
      </x:c>
      <x:c r="D18" s="23" t="n">
        <x:v>0.205923220257</x:v>
      </x:c>
      <x:c r="E18" s="23" t="str"/>
      <x:c r="F18" s="23" t="str"/>
      <x:c r="G18" s="23" t="n">
        <x:v>0.016266226489</x:v>
      </x:c>
      <x:c r="H18" s="23" t="n">
        <x:v>0.016266226489</x:v>
      </x:c>
      <x:c r="I18" s="23" t="n">
        <x:v>-0.131136280342</x:v>
      </x:c>
      <x:c r="J18" s="23" t="str">
        <x:v>subsonic_M0p0_0p8</x:v>
      </x:c>
    </x:row>
    <x:row r="19">
      <x:c r="A19" s="23" t="n">
        <x:v>0.2</x:v>
      </x:c>
      <x:c r="B19" s="23" t="n">
        <x:v>5</x:v>
      </x:c>
      <x:c r="C19" s="23" t="n">
        <x:v>0.253802088641</x:v>
      </x:c>
      <x:c r="D19" s="23" t="n">
        <x:v>0.253802088641</x:v>
      </x:c>
      <x:c r="E19" s="23" t="str"/>
      <x:c r="F19" s="23" t="str"/>
      <x:c r="G19" s="23" t="n">
        <x:v>0.020134422357</x:v>
      </x:c>
      <x:c r="H19" s="23" t="n">
        <x:v>0.020134422357</x:v>
      </x:c>
      <x:c r="I19" s="23" t="n">
        <x:v>-0.169773361927</x:v>
      </x:c>
      <x:c r="J19" s="23" t="str">
        <x:v>subsonic_M0p0_0p8</x:v>
      </x:c>
    </x:row>
    <x:row r="20">
      <x:c r="A20" s="23" t="n">
        <x:v>0.3</x:v>
      </x:c>
      <x:c r="B20" s="23" t="n">
        <x:v>0</x:v>
      </x:c>
      <x:c r="C20" s="23" t="n">
        <x:v>0.017170579178</x:v>
      </x:c>
      <x:c r="D20" s="23" t="n">
        <x:v>0.017170579178</x:v>
      </x:c>
      <x:c r="E20" s="23" t="str"/>
      <x:c r="F20" s="23" t="str"/>
      <x:c r="G20" s="23" t="n">
        <x:v>0.008543040177</x:v>
      </x:c>
      <x:c r="H20" s="23" t="n">
        <x:v>0.008543040177</x:v>
      </x:c>
      <x:c r="I20" s="23" t="n">
        <x:v>0.014487467433</x:v>
      </x:c>
      <x:c r="J20" s="23" t="str">
        <x:v>subsonic_M0p0_0p8</x:v>
      </x:c>
    </x:row>
    <x:row r="21">
      <x:c r="A21" s="23" t="n">
        <x:v>0.3</x:v>
      </x:c>
      <x:c r="B21" s="23" t="n">
        <x:v>1</x:v>
      </x:c>
      <x:c r="C21" s="23" t="n">
        <x:v>0.064415741498</x:v>
      </x:c>
      <x:c r="D21" s="23" t="n">
        <x:v>0.064415741498</x:v>
      </x:c>
      <x:c r="E21" s="23" t="str"/>
      <x:c r="F21" s="23" t="str"/>
      <x:c r="G21" s="23" t="n">
        <x:v>0.009352023671</x:v>
      </x:c>
      <x:c r="H21" s="23" t="n">
        <x:v>0.009352023671</x:v>
      </x:c>
      <x:c r="I21" s="23" t="n">
        <x:v>-0.021384700437</x:v>
      </x:c>
      <x:c r="J21" s="23" t="str">
        <x:v>subsonic_M0p0_0p8</x:v>
      </x:c>
    </x:row>
    <x:row r="22">
      <x:c r="A22" s="23" t="n">
        <x:v>0.3</x:v>
      </x:c>
      <x:c r="B22" s="23" t="n">
        <x:v>2</x:v>
      </x:c>
      <x:c r="C22" s="23" t="n">
        <x:v>0.112413913838</x:v>
      </x:c>
      <x:c r="D22" s="23" t="n">
        <x:v>0.112413913838</x:v>
      </x:c>
      <x:c r="E22" s="23" t="str"/>
      <x:c r="F22" s="23" t="str"/>
      <x:c r="G22" s="23" t="n">
        <x:v>0.010963958812</x:v>
      </x:c>
      <x:c r="H22" s="23" t="n">
        <x:v>0.010963958812</x:v>
      </x:c>
      <x:c r="I22" s="23" t="n">
        <x:v>-0.058743620493</x:v>
      </x:c>
      <x:c r="J22" s="23" t="str">
        <x:v>subsonic_M0p0_0p8</x:v>
      </x:c>
    </x:row>
    <x:row r="23">
      <x:c r="A23" s="23" t="n">
        <x:v>0.3</x:v>
      </x:c>
      <x:c r="B23" s="23" t="n">
        <x:v>3</x:v>
      </x:c>
      <x:c r="C23" s="23" t="n">
        <x:v>0.160278127043</x:v>
      </x:c>
      <x:c r="D23" s="23" t="n">
        <x:v>0.160278127043</x:v>
      </x:c>
      <x:c r="E23" s="23" t="str"/>
      <x:c r="F23" s="23" t="str"/>
      <x:c r="G23" s="23" t="n">
        <x:v>0.01338161841</x:v>
      </x:c>
      <x:c r="H23" s="23" t="n">
        <x:v>0.01338161841</x:v>
      </x:c>
      <x:c r="I23" s="23" t="n">
        <x:v>-0.096010437326</x:v>
      </x:c>
      <x:c r="J23" s="23" t="str">
        <x:v>subsonic_M0p0_0p8</x:v>
      </x:c>
    </x:row>
    <x:row r="24">
      <x:c r="A24" s="23" t="n">
        <x:v>0.3</x:v>
      </x:c>
      <x:c r="B24" s="23" t="n">
        <x:v>4</x:v>
      </x:c>
      <x:c r="C24" s="23" t="n">
        <x:v>0.207480261376</x:v>
      </x:c>
      <x:c r="D24" s="23" t="n">
        <x:v>0.207480261376</x:v>
      </x:c>
      <x:c r="E24" s="23" t="str"/>
      <x:c r="F24" s="23" t="str"/>
      <x:c r="G24" s="23" t="n">
        <x:v>0.016510829055</x:v>
      </x:c>
      <x:c r="H24" s="23" t="n">
        <x:v>0.016510829055</x:v>
      </x:c>
      <x:c r="I24" s="23" t="n">
        <x:v>-0.133322961168</x:v>
      </x:c>
      <x:c r="J24" s="23" t="str">
        <x:v>subsonic_M0p0_0p8</x:v>
      </x:c>
    </x:row>
    <x:row r="25">
      <x:c r="A25" s="23" t="n">
        <x:v>0.3</x:v>
      </x:c>
      <x:c r="B25" s="23" t="n">
        <x:v>5</x:v>
      </x:c>
      <x:c r="C25" s="23" t="n">
        <x:v>0.255877709833</x:v>
      </x:c>
      <x:c r="D25" s="23" t="n">
        <x:v>0.255877709833</x:v>
      </x:c>
      <x:c r="E25" s="23" t="str"/>
      <x:c r="F25" s="23" t="str"/>
      <x:c r="G25" s="23" t="n">
        <x:v>0.020458134734</x:v>
      </x:c>
      <x:c r="H25" s="23" t="n">
        <x:v>0.020458134734</x:v>
      </x:c>
      <x:c r="I25" s="23" t="n">
        <x:v>-0.172497765584</x:v>
      </x:c>
      <x:c r="J25" s="23" t="str">
        <x:v>subsonic_M0p0_0p8</x:v>
      </x:c>
    </x:row>
    <x:row r="26">
      <x:c r="A26" s="23" t="n">
        <x:v>0.4</x:v>
      </x:c>
      <x:c r="B26" s="23" t="n">
        <x:v>0</x:v>
      </x:c>
      <x:c r="C26" s="23" t="n">
        <x:v>0.016844045996</x:v>
      </x:c>
      <x:c r="D26" s="23" t="n">
        <x:v>0.016844045996</x:v>
      </x:c>
      <x:c r="E26" s="23" t="str"/>
      <x:c r="F26" s="23" t="str"/>
      <x:c r="G26" s="23" t="n">
        <x:v>0.008658770853</x:v>
      </x:c>
      <x:c r="H26" s="23" t="n">
        <x:v>0.008658770853</x:v>
      </x:c>
      <x:c r="I26" s="23" t="n">
        <x:v>0.014007433879</x:v>
      </x:c>
      <x:c r="J26" s="23" t="str">
        <x:v>subsonic_M0p0_0p8</x:v>
      </x:c>
    </x:row>
    <x:row r="27">
      <x:c r="A27" s="23" t="n">
        <x:v>0.4</x:v>
      </x:c>
      <x:c r="B27" s="23" t="n">
        <x:v>1</x:v>
      </x:c>
      <x:c r="C27" s="23" t="n">
        <x:v>0.064878173716</x:v>
      </x:c>
      <x:c r="D27" s="23" t="n">
        <x:v>0.064878173716</x:v>
      </x:c>
      <x:c r="E27" s="23" t="str"/>
      <x:c r="F27" s="23" t="str"/>
      <x:c r="G27" s="23" t="n">
        <x:v>0.009489857428</x:v>
      </x:c>
      <x:c r="H27" s="23" t="n">
        <x:v>0.009489857428</x:v>
      </x:c>
      <x:c r="I27" s="23" t="n">
        <x:v>-0.022773962312</x:v>
      </x:c>
      <x:c r="J27" s="23" t="str">
        <x:v>subsonic_M0p0_0p8</x:v>
      </x:c>
    </x:row>
    <x:row r="28">
      <x:c r="A28" s="23" t="n">
        <x:v>0.4</x:v>
      </x:c>
      <x:c r="B28" s="23" t="n">
        <x:v>2</x:v>
      </x:c>
      <x:c r="C28" s="23" t="n">
        <x:v>0.113644890851</x:v>
      </x:c>
      <x:c r="D28" s="23" t="n">
        <x:v>0.113644890851</x:v>
      </x:c>
      <x:c r="E28" s="23" t="str"/>
      <x:c r="F28" s="23" t="str"/>
      <x:c r="G28" s="23" t="n">
        <x:v>0.011150475787</x:v>
      </x:c>
      <x:c r="H28" s="23" t="n">
        <x:v>0.011150475787</x:v>
      </x:c>
      <x:c r="I28" s="23" t="n">
        <x:v>-0.060842890887</x:v>
      </x:c>
      <x:c r="J28" s="23" t="str">
        <x:v>subsonic_M0p0_0p8</x:v>
      </x:c>
    </x:row>
    <x:row r="29">
      <x:c r="A29" s="23" t="n">
        <x:v>0.4</x:v>
      </x:c>
      <x:c r="B29" s="23" t="n">
        <x:v>3</x:v>
      </x:c>
      <x:c r="C29" s="23" t="n">
        <x:v>0.161512024535</x:v>
      </x:c>
      <x:c r="D29" s="23" t="n">
        <x:v>0.161512024535</x:v>
      </x:c>
      <x:c r="E29" s="23" t="str"/>
      <x:c r="F29" s="23" t="str"/>
      <x:c r="G29" s="23" t="n">
        <x:v>0.013615115267</x:v>
      </x:c>
      <x:c r="H29" s="23" t="n">
        <x:v>0.013615115267</x:v>
      </x:c>
      <x:c r="I29" s="23" t="n">
        <x:v>-0.098376836979</x:v>
      </x:c>
      <x:c r="J29" s="23" t="str">
        <x:v>subsonic_M0p0_0p8</x:v>
      </x:c>
    </x:row>
    <x:row r="30">
      <x:c r="A30" s="23" t="n">
        <x:v>0.4</x:v>
      </x:c>
      <x:c r="B30" s="23" t="n">
        <x:v>4</x:v>
      </x:c>
      <x:c r="C30" s="23" t="n">
        <x:v>0.210002989316</x:v>
      </x:c>
      <x:c r="D30" s="23" t="n">
        <x:v>0.210002989316</x:v>
      </x:c>
      <x:c r="E30" s="23" t="str"/>
      <x:c r="F30" s="23" t="str"/>
      <x:c r="G30" s="23" t="n">
        <x:v>0.016886059597</x:v>
      </x:c>
      <x:c r="H30" s="23" t="n">
        <x:v>0.016886059597</x:v>
      </x:c>
      <x:c r="I30" s="23" t="n">
        <x:v>-0.13675627193</x:v>
      </x:c>
      <x:c r="J30" s="23" t="str">
        <x:v>subsonic_M0p0_0p8</x:v>
      </x:c>
    </x:row>
    <x:row r="31">
      <x:c r="A31" s="23" t="n">
        <x:v>0.4</x:v>
      </x:c>
      <x:c r="B31" s="23" t="n">
        <x:v>5</x:v>
      </x:c>
      <x:c r="C31" s="23" t="n">
        <x:v>0.258642834164</x:v>
      </x:c>
      <x:c r="D31" s="23" t="n">
        <x:v>0.258642834164</x:v>
      </x:c>
      <x:c r="E31" s="23" t="str"/>
      <x:c r="F31" s="23" t="str"/>
      <x:c r="G31" s="23" t="n">
        <x:v>0.020926067003</x:v>
      </x:c>
      <x:c r="H31" s="23" t="n">
        <x:v>0.020926067003</x:v>
      </x:c>
      <x:c r="I31" s="23" t="n">
        <x:v>-0.175819094262</x:v>
      </x:c>
      <x:c r="J31" s="23" t="str">
        <x:v>subsonic_M0p0_0p8</x:v>
      </x:c>
    </x:row>
    <x:row r="32">
      <x:c r="A32" s="23" t="n">
        <x:v>0.5</x:v>
      </x:c>
      <x:c r="B32" s="23" t="n">
        <x:v>0</x:v>
      </x:c>
      <x:c r="C32" s="23" t="n">
        <x:v>0.016923964055</x:v>
      </x:c>
      <x:c r="D32" s="23" t="n">
        <x:v>0.016923964055</x:v>
      </x:c>
      <x:c r="E32" s="23" t="str"/>
      <x:c r="F32" s="23" t="str"/>
      <x:c r="G32" s="23" t="n">
        <x:v>0.008846798817</x:v>
      </x:c>
      <x:c r="H32" s="23" t="n">
        <x:v>0.008846798817</x:v>
      </x:c>
      <x:c r="I32" s="23" t="n">
        <x:v>0.012740193636</x:v>
      </x:c>
      <x:c r="J32" s="23" t="str">
        <x:v>subsonic_M0p0_0p8</x:v>
      </x:c>
    </x:row>
    <x:row r="33">
      <x:c r="A33" s="23" t="n">
        <x:v>0.5</x:v>
      </x:c>
      <x:c r="B33" s="23" t="n">
        <x:v>1</x:v>
      </x:c>
      <x:c r="C33" s="23" t="n">
        <x:v>0.065890019174</x:v>
      </x:c>
      <x:c r="D33" s="23" t="n">
        <x:v>0.065890019174</x:v>
      </x:c>
      <x:c r="E33" s="23" t="str"/>
      <x:c r="F33" s="23" t="str"/>
      <x:c r="G33" s="23" t="n">
        <x:v>0.009708246345</x:v>
      </x:c>
      <x:c r="H33" s="23" t="n">
        <x:v>0.009708246345</x:v>
      </x:c>
      <x:c r="I33" s="23" t="n">
        <x:v>-0.025020555477</x:v>
      </x:c>
      <x:c r="J33" s="23" t="str">
        <x:v>subsonic_M0p0_0p8</x:v>
      </x:c>
    </x:row>
    <x:row r="34">
      <x:c r="A34" s="23" t="n">
        <x:v>0.5</x:v>
      </x:c>
      <x:c r="B34" s="23" t="n">
        <x:v>2</x:v>
      </x:c>
      <x:c r="C34" s="23" t="n">
        <x:v>0.115550304306</x:v>
      </x:c>
      <x:c r="D34" s="23" t="n">
        <x:v>0.115550304306</x:v>
      </x:c>
      <x:c r="E34" s="23" t="str"/>
      <x:c r="F34" s="23" t="str"/>
      <x:c r="G34" s="23" t="n">
        <x:v>0.0114479934</x:v>
      </x:c>
      <x:c r="H34" s="23" t="n">
        <x:v>0.0114479934</x:v>
      </x:c>
      <x:c r="I34" s="23" t="n">
        <x:v>-0.064075615543</x:v>
      </x:c>
      <x:c r="J34" s="23" t="str">
        <x:v>subsonic_M0p0_0p8</x:v>
      </x:c>
    </x:row>
    <x:row r="35">
      <x:c r="A35" s="23" t="n">
        <x:v>0.5</x:v>
      </x:c>
      <x:c r="B35" s="23" t="n">
        <x:v>3</x:v>
      </x:c>
      <x:c r="C35" s="23" t="n">
        <x:v>0.164577906928</x:v>
      </x:c>
      <x:c r="D35" s="23" t="n">
        <x:v>0.164577906928</x:v>
      </x:c>
      <x:c r="E35" s="23" t="str"/>
      <x:c r="F35" s="23" t="str"/>
      <x:c r="G35" s="23" t="n">
        <x:v>0.014029338315</x:v>
      </x:c>
      <x:c r="H35" s="23" t="n">
        <x:v>0.014029338315</x:v>
      </x:c>
      <x:c r="I35" s="23" t="n">
        <x:v>-0.102744104073</x:v>
      </x:c>
      <x:c r="J35" s="23" t="str">
        <x:v>subsonic_M0p0_0p8</x:v>
      </x:c>
    </x:row>
    <x:row r="36">
      <x:c r="A36" s="23" t="n">
        <x:v>0.5</x:v>
      </x:c>
      <x:c r="B36" s="23" t="n">
        <x:v>4</x:v>
      </x:c>
      <x:c r="C36" s="23" t="n">
        <x:v>0.21372432759</x:v>
      </x:c>
      <x:c r="D36" s="23" t="n">
        <x:v>0.21372432759</x:v>
      </x:c>
      <x:c r="E36" s="23" t="str"/>
      <x:c r="F36" s="23" t="str"/>
      <x:c r="G36" s="23" t="n">
        <x:v>0.017434403012</x:v>
      </x:c>
      <x:c r="H36" s="23" t="n">
        <x:v>0.017434403012</x:v>
      </x:c>
      <x:c r="I36" s="23" t="n">
        <x:v>-0.141947854002</x:v>
      </x:c>
      <x:c r="J36" s="23" t="str">
        <x:v>subsonic_M0p0_0p8</x:v>
      </x:c>
    </x:row>
    <x:row r="37">
      <x:c r="A37" s="23" t="n">
        <x:v>0.5</x:v>
      </x:c>
      <x:c r="B37" s="23" t="n">
        <x:v>5</x:v>
      </x:c>
      <x:c r="C37" s="23" t="n">
        <x:v>0.262891142678</x:v>
      </x:c>
      <x:c r="D37" s="23" t="n">
        <x:v>0.262891142678</x:v>
      </x:c>
      <x:c r="E37" s="23" t="str"/>
      <x:c r="F37" s="23" t="str"/>
      <x:c r="G37" s="23" t="n">
        <x:v>0.021642207258</x:v>
      </x:c>
      <x:c r="H37" s="23" t="n">
        <x:v>0.021642207258</x:v>
      </x:c>
      <x:c r="I37" s="23" t="n">
        <x:v>-0.180995749911</x:v>
      </x:c>
      <x:c r="J37" s="23" t="str">
        <x:v>subsonic_M0p0_0p8</x:v>
      </x:c>
    </x:row>
    <x:row r="38">
      <x:c r="A38" s="23" t="n">
        <x:v>0.6</x:v>
      </x:c>
      <x:c r="B38" s="23" t="n">
        <x:v>0</x:v>
      </x:c>
      <x:c r="C38" s="23" t="n">
        <x:v>0.017471626806</x:v>
      </x:c>
      <x:c r="D38" s="23" t="n">
        <x:v>0.017471626806</x:v>
      </x:c>
      <x:c r="E38" s="23" t="str"/>
      <x:c r="F38" s="23" t="str"/>
      <x:c r="G38" s="23" t="n">
        <x:v>0.009136832198</x:v>
      </x:c>
      <x:c r="H38" s="23" t="n">
        <x:v>0.009136832198</x:v>
      </x:c>
      <x:c r="I38" s="23" t="n">
        <x:v>0.010620700687</x:v>
      </x:c>
      <x:c r="J38" s="23" t="str">
        <x:v>subsonic_M0p0_0p8</x:v>
      </x:c>
    </x:row>
    <x:row r="39">
      <x:c r="A39" s="23" t="n">
        <x:v>0.6</x:v>
      </x:c>
      <x:c r="B39" s="23" t="n">
        <x:v>1</x:v>
      </x:c>
      <x:c r="C39" s="23" t="n">
        <x:v>0.067804900789</x:v>
      </x:c>
      <x:c r="D39" s="23" t="n">
        <x:v>0.067804900789</x:v>
      </x:c>
      <x:c r="E39" s="23" t="str"/>
      <x:c r="F39" s="23" t="str"/>
      <x:c r="G39" s="23" t="n">
        <x:v>0.010044696547</x:v>
      </x:c>
      <x:c r="H39" s="23" t="n">
        <x:v>0.010044696547</x:v>
      </x:c>
      <x:c r="I39" s="23" t="n">
        <x:v>-0.028683046048</x:v>
      </x:c>
      <x:c r="J39" s="23" t="str">
        <x:v>subsonic_M0p0_0p8</x:v>
      </x:c>
    </x:row>
    <x:row r="40">
      <x:c r="A40" s="23" t="n">
        <x:v>0.6</x:v>
      </x:c>
      <x:c r="B40" s="23" t="n">
        <x:v>2</x:v>
      </x:c>
      <x:c r="C40" s="23" t="n">
        <x:v>0.118904763148</x:v>
      </x:c>
      <x:c r="D40" s="23" t="n">
        <x:v>0.118904763148</x:v>
      </x:c>
      <x:c r="E40" s="23" t="str"/>
      <x:c r="F40" s="23" t="str"/>
      <x:c r="G40" s="23" t="n">
        <x:v>0.011900551214</x:v>
      </x:c>
      <x:c r="H40" s="23" t="n">
        <x:v>0.011900551214</x:v>
      </x:c>
      <x:c r="I40" s="23" t="n">
        <x:v>-0.069179429879</x:v>
      </x:c>
      <x:c r="J40" s="23" t="str">
        <x:v>subsonic_M0p0_0p8</x:v>
      </x:c>
    </x:row>
    <x:row r="41">
      <x:c r="A41" s="23" t="n">
        <x:v>0.6</x:v>
      </x:c>
      <x:c r="B41" s="23" t="n">
        <x:v>3</x:v>
      </x:c>
      <x:c r="C41" s="23" t="n">
        <x:v>0.169127523065</x:v>
      </x:c>
      <x:c r="D41" s="23" t="n">
        <x:v>0.169127523065</x:v>
      </x:c>
      <x:c r="E41" s="23" t="str"/>
      <x:c r="F41" s="23" t="str"/>
      <x:c r="G41" s="23" t="n">
        <x:v>0.014645773622</x:v>
      </x:c>
      <x:c r="H41" s="23" t="n">
        <x:v>0.014645773622</x:v>
      </x:c>
      <x:c r="I41" s="23" t="n">
        <x:v>-0.109105515406</x:v>
      </x:c>
      <x:c r="J41" s="23" t="str">
        <x:v>subsonic_M0p0_0p8</x:v>
      </x:c>
    </x:row>
    <x:row r="42">
      <x:c r="A42" s="23" t="n">
        <x:v>0.6</x:v>
      </x:c>
      <x:c r="B42" s="23" t="n">
        <x:v>4</x:v>
      </x:c>
      <x:c r="C42" s="23" t="n">
        <x:v>0.219511016632</x:v>
      </x:c>
      <x:c r="D42" s="23" t="n">
        <x:v>0.219511016632</x:v>
      </x:c>
      <x:c r="E42" s="23" t="str"/>
      <x:c r="F42" s="23" t="str"/>
      <x:c r="G42" s="23" t="n">
        <x:v>0.018282719413</x:v>
      </x:c>
      <x:c r="H42" s="23" t="n">
        <x:v>0.018282719413</x:v>
      </x:c>
      <x:c r="I42" s="23" t="n">
        <x:v>-0.149624474275</x:v>
      </x:c>
      <x:c r="J42" s="23" t="str">
        <x:v>subsonic_M0p0_0p8</x:v>
      </x:c>
    </x:row>
    <x:row r="43">
      <x:c r="A43" s="23" t="n">
        <x:v>0.6</x:v>
      </x:c>
      <x:c r="B43" s="23" t="n">
        <x:v>5</x:v>
      </x:c>
      <x:c r="C43" s="23" t="n">
        <x:v>0.269959901455</x:v>
      </x:c>
      <x:c r="D43" s="23" t="n">
        <x:v>0.269959901455</x:v>
      </x:c>
      <x:c r="E43" s="23" t="str"/>
      <x:c r="F43" s="23" t="str"/>
      <x:c r="G43" s="23" t="n">
        <x:v>0.022767623018</x:v>
      </x:c>
      <x:c r="H43" s="23" t="n">
        <x:v>0.022767623018</x:v>
      </x:c>
      <x:c r="I43" s="23" t="n">
        <x:v>-0.190023797726</x:v>
      </x:c>
      <x:c r="J43" s="23" t="str">
        <x:v>subsonic_M0p0_0p8</x:v>
      </x:c>
    </x:row>
    <x:row r="44">
      <x:c r="A44" s="23" t="n">
        <x:v>0.7</x:v>
      </x:c>
      <x:c r="B44" s="23" t="n">
        <x:v>0</x:v>
      </x:c>
      <x:c r="C44" s="23" t="n">
        <x:v>0.019773117897</x:v>
      </x:c>
      <x:c r="D44" s="23" t="n">
        <x:v>0.019773117897</x:v>
      </x:c>
      <x:c r="E44" s="23" t="str"/>
      <x:c r="F44" s="23" t="str"/>
      <x:c r="G44" s="23" t="n">
        <x:v>0.009582135496</x:v>
      </x:c>
      <x:c r="H44" s="23" t="n">
        <x:v>0.009582135496</x:v>
      </x:c>
      <x:c r="I44" s="23" t="n">
        <x:v>0.006329038472</x:v>
      </x:c>
      <x:c r="J44" s="23" t="str">
        <x:v>subsonic_M0p0_0p8</x:v>
      </x:c>
    </x:row>
    <x:row r="45">
      <x:c r="A45" s="23" t="n">
        <x:v>0.7</x:v>
      </x:c>
      <x:c r="B45" s="23" t="n">
        <x:v>1</x:v>
      </x:c>
      <x:c r="C45" s="23" t="n">
        <x:v>0.071668375236</x:v>
      </x:c>
      <x:c r="D45" s="23" t="n">
        <x:v>0.071668375236</x:v>
      </x:c>
      <x:c r="E45" s="23" t="str"/>
      <x:c r="F45" s="23" t="str"/>
      <x:c r="G45" s="23" t="n">
        <x:v>0.010596100512</x:v>
      </x:c>
      <x:c r="H45" s="23" t="n">
        <x:v>0.010596100512</x:v>
      </x:c>
      <x:c r="I45" s="23" t="n">
        <x:v>-0.03475626457</x:v>
      </x:c>
      <x:c r="J45" s="23" t="str">
        <x:v>subsonic_M0p0_0p8</x:v>
      </x:c>
    </x:row>
    <x:row r="46">
      <x:c r="A46" s="23" t="n">
        <x:v>0.7</x:v>
      </x:c>
      <x:c r="B46" s="23" t="n">
        <x:v>2</x:v>
      </x:c>
      <x:c r="C46" s="23" t="n">
        <x:v>0.124569326935</x:v>
      </x:c>
      <x:c r="D46" s="23" t="n">
        <x:v>0.124569326935</x:v>
      </x:c>
      <x:c r="E46" s="23" t="str"/>
      <x:c r="F46" s="23" t="str"/>
      <x:c r="G46" s="23" t="n">
        <x:v>0.012633525093</x:v>
      </x:c>
      <x:c r="H46" s="23" t="n">
        <x:v>0.012633525093</x:v>
      </x:c>
      <x:c r="I46" s="23" t="n">
        <x:v>-0.07707904474</x:v>
      </x:c>
      <x:c r="J46" s="23" t="str">
        <x:v>subsonic_M0p0_0p8</x:v>
      </x:c>
    </x:row>
    <x:row r="47">
      <x:c r="A47" s="23" t="n">
        <x:v>0.7</x:v>
      </x:c>
      <x:c r="B47" s="23" t="n">
        <x:v>3</x:v>
      </x:c>
      <x:c r="C47" s="23" t="n">
        <x:v>0.17626888317</x:v>
      </x:c>
      <x:c r="D47" s="23" t="n">
        <x:v>0.17626888317</x:v>
      </x:c>
      <x:c r="E47" s="23" t="str"/>
      <x:c r="F47" s="23" t="str"/>
      <x:c r="G47" s="23" t="n">
        <x:v>0.015627547251</x:v>
      </x:c>
      <x:c r="H47" s="23" t="n">
        <x:v>0.015627547251</x:v>
      </x:c>
      <x:c r="I47" s="23" t="n">
        <x:v>-0.118681217789</x:v>
      </x:c>
      <x:c r="J47" s="23" t="str">
        <x:v>subsonic_M0p0_0p8</x:v>
      </x:c>
    </x:row>
    <x:row r="48">
      <x:c r="A48" s="23" t="n">
        <x:v>0.7</x:v>
      </x:c>
      <x:c r="B48" s="23" t="n">
        <x:v>4</x:v>
      </x:c>
      <x:c r="C48" s="23" t="n">
        <x:v>0.228201910395</x:v>
      </x:c>
      <x:c r="D48" s="23" t="n">
        <x:v>0.228201910395</x:v>
      </x:c>
      <x:c r="E48" s="23" t="str"/>
      <x:c r="F48" s="23" t="str"/>
      <x:c r="G48" s="23" t="n">
        <x:v>0.019594534998</x:v>
      </x:c>
      <x:c r="H48" s="23" t="n">
        <x:v>0.019594534998</x:v>
      </x:c>
      <x:c r="I48" s="23" t="n">
        <x:v>-0.160843869343</x:v>
      </x:c>
      <x:c r="J48" s="23" t="str">
        <x:v>subsonic_M0p0_0p8</x:v>
      </x:c>
    </x:row>
    <x:row r="49">
      <x:c r="A49" s="23" t="n">
        <x:v>0.7</x:v>
      </x:c>
      <x:c r="B49" s="23" t="n">
        <x:v>5</x:v>
      </x:c>
      <x:c r="C49" s="23" t="n">
        <x:v>0.280100418186</x:v>
      </x:c>
      <x:c r="D49" s="23" t="n">
        <x:v>0.280100418186</x:v>
      </x:c>
      <x:c r="E49" s="23" t="str"/>
      <x:c r="F49" s="23" t="str"/>
      <x:c r="G49" s="23" t="n">
        <x:v>0.024492749739</x:v>
      </x:c>
      <x:c r="H49" s="23" t="n">
        <x:v>0.024492749739</x:v>
      </x:c>
      <x:c r="I49" s="23" t="n">
        <x:v>-0.202872617667</x:v>
      </x:c>
      <x:c r="J49" s="23" t="str">
        <x:v>subsonic_M0p0_0p8</x:v>
      </x:c>
    </x:row>
    <x:row r="50">
      <x:c r="A50" s="23" t="n">
        <x:v>0.8</x:v>
      </x:c>
      <x:c r="B50" s="23" t="n">
        <x:v>0</x:v>
      </x:c>
      <x:c r="C50" s="23" t="n">
        <x:v>0.025953259836</x:v>
      </x:c>
      <x:c r="D50" s="23" t="n">
        <x:v>0.025953259836</x:v>
      </x:c>
      <x:c r="E50" s="23" t="str"/>
      <x:c r="F50" s="23" t="str"/>
      <x:c r="G50" s="23" t="n">
        <x:v>0.010403439816</x:v>
      </x:c>
      <x:c r="H50" s="23" t="n">
        <x:v>0.010403439816</x:v>
      </x:c>
      <x:c r="I50" s="23" t="n">
        <x:v>-0.002025355595</x:v>
      </x:c>
      <x:c r="J50" s="23" t="str">
        <x:v>subsonic_M0p0_0p8</x:v>
      </x:c>
    </x:row>
    <x:row r="51">
      <x:c r="A51" s="23" t="n">
        <x:v>0.8</x:v>
      </x:c>
      <x:c r="B51" s="23" t="n">
        <x:v>1</x:v>
      </x:c>
      <x:c r="C51" s="23" t="n">
        <x:v>0.080463545107</x:v>
      </x:c>
      <x:c r="D51" s="23" t="n">
        <x:v>0.080463545107</x:v>
      </x:c>
      <x:c r="E51" s="23" t="str"/>
      <x:c r="F51" s="23" t="str"/>
      <x:c r="G51" s="23" t="n">
        <x:v>0.011727496853</x:v>
      </x:c>
      <x:c r="H51" s="23" t="n">
        <x:v>0.011727496853</x:v>
      </x:c>
      <x:c r="I51" s="23" t="n">
        <x:v>-0.046343847853</x:v>
      </x:c>
      <x:c r="J51" s="23" t="str">
        <x:v>subsonic_M0p0_0p8</x:v>
      </x:c>
    </x:row>
    <x:row r="52">
      <x:c r="A52" s="23" t="n">
        <x:v>0.8</x:v>
      </x:c>
      <x:c r="B52" s="23" t="n">
        <x:v>2</x:v>
      </x:c>
      <x:c r="C52" s="23" t="n">
        <x:v>0.13496163626</x:v>
      </x:c>
      <x:c r="D52" s="23" t="n">
        <x:v>0.13496163626</x:v>
      </x:c>
      <x:c r="E52" s="23" t="str"/>
      <x:c r="F52" s="23" t="str"/>
      <x:c r="G52" s="23" t="n">
        <x:v>0.014007049673</x:v>
      </x:c>
      <x:c r="H52" s="23" t="n">
        <x:v>0.014007049673</x:v>
      </x:c>
      <x:c r="I52" s="23" t="n">
        <x:v>-0.09085566538</x:v>
      </x:c>
      <x:c r="J52" s="23" t="str">
        <x:v>subsonic_M0p0_0p8</x:v>
      </x:c>
    </x:row>
    <x:row r="53">
      <x:c r="A53" s="23" t="n">
        <x:v>0.8</x:v>
      </x:c>
      <x:c r="B53" s="23" t="n">
        <x:v>3</x:v>
      </x:c>
      <x:c r="C53" s="23" t="n">
        <x:v>0.189366861917</x:v>
      </x:c>
      <x:c r="D53" s="23" t="n">
        <x:v>0.189366861917</x:v>
      </x:c>
      <x:c r="E53" s="23" t="str"/>
      <x:c r="F53" s="23" t="str"/>
      <x:c r="G53" s="23" t="n">
        <x:v>0.017431557419</x:v>
      </x:c>
      <x:c r="H53" s="23" t="n">
        <x:v>0.017431557419</x:v>
      </x:c>
      <x:c r="I53" s="23" t="n">
        <x:v>-0.135526535332</x:v>
      </x:c>
      <x:c r="J53" s="23" t="str">
        <x:v>subsonic_M0p0_0p8</x:v>
      </x:c>
    </x:row>
    <x:row r="54">
      <x:c r="A54" s="23" t="n">
        <x:v>0.8</x:v>
      </x:c>
      <x:c r="B54" s="23" t="n">
        <x:v>4</x:v>
      </x:c>
      <x:c r="C54" s="23" t="n">
        <x:v>0.243423509126</x:v>
      </x:c>
      <x:c r="D54" s="23" t="n">
        <x:v>0.243423509126</x:v>
      </x:c>
      <x:c r="E54" s="23" t="str"/>
      <x:c r="F54" s="23" t="str"/>
      <x:c r="G54" s="23" t="n">
        <x:v>0.021973564802</x:v>
      </x:c>
      <x:c r="H54" s="23" t="n">
        <x:v>0.021973564802</x:v>
      </x:c>
      <x:c r="I54" s="23" t="n">
        <x:v>-0.180139786258</x:v>
      </x:c>
      <x:c r="J54" s="23" t="str">
        <x:v>subsonic_M0p0_0p8</x:v>
      </x:c>
    </x:row>
    <x:row r="55">
      <x:c r="A55" s="23" t="n">
        <x:v>0.8</x:v>
      </x:c>
      <x:c r="B55" s="23" t="n">
        <x:v>5</x:v>
      </x:c>
      <x:c r="C55" s="23" t="n">
        <x:v>0.297389695609</x:v>
      </x:c>
      <x:c r="D55" s="23" t="n">
        <x:v>0.297389695609</x:v>
      </x:c>
      <x:c r="E55" s="23" t="str"/>
      <x:c r="F55" s="23" t="str"/>
      <x:c r="G55" s="23" t="n">
        <x:v>0.027540077013</x:v>
      </x:c>
      <x:c r="H55" s="23" t="n">
        <x:v>0.027540077013</x:v>
      </x:c>
      <x:c r="I55" s="23" t="n">
        <x:v>-0.224748445542</x:v>
      </x:c>
      <x:c r="J55" s="23" t="str">
        <x:v>subsonic_M0p0_0p8</x:v>
      </x:c>
    </x:row>
    <x:row r="56">
      <x:c r="A56" s="23" t="n">
        <x:v>1.1</x:v>
      </x:c>
      <x:c r="B56" s="23" t="n">
        <x:v>0</x:v>
      </x:c>
      <x:c r="C56" s="23" t="n">
        <x:v>-0.045819138523</x:v>
      </x:c>
      <x:c r="D56" s="23" t="n">
        <x:v>-0.045819138523</x:v>
      </x:c>
      <x:c r="E56" s="23" t="str"/>
      <x:c r="F56" s="23" t="str"/>
      <x:c r="G56" s="23" t="n">
        <x:v>0.156156548605</x:v>
      </x:c>
      <x:c r="H56" s="23" t="n">
        <x:v>0.156156548605</x:v>
      </x:c>
      <x:c r="I56" s="23" t="n">
        <x:v>-0.037786568208</x:v>
      </x:c>
      <x:c r="J56" s="23" t="str">
        <x:v>supersonic_M1p1_2p2</x:v>
      </x:c>
    </x:row>
    <x:row r="57">
      <x:c r="A57" s="23" t="n">
        <x:v>1.1</x:v>
      </x:c>
      <x:c r="B57" s="23" t="n">
        <x:v>1</x:v>
      </x:c>
      <x:c r="C57" s="23" t="n">
        <x:v>0.010799606587</x:v>
      </x:c>
      <x:c r="D57" s="23" t="n">
        <x:v>0.010799606587</x:v>
      </x:c>
      <x:c r="E57" s="23" t="str"/>
      <x:c r="F57" s="23" t="str"/>
      <x:c r="G57" s="23" t="n">
        <x:v>0.157373157781</x:v>
      </x:c>
      <x:c r="H57" s="23" t="n">
        <x:v>0.157373157781</x:v>
      </x:c>
      <x:c r="I57" s="23" t="n">
        <x:v>-0.08344408792</x:v>
      </x:c>
      <x:c r="J57" s="23" t="str">
        <x:v>supersonic_M1p1_2p2</x:v>
      </x:c>
    </x:row>
    <x:row r="58">
      <x:c r="A58" s="23" t="n">
        <x:v>1.1</x:v>
      </x:c>
      <x:c r="B58" s="23" t="n">
        <x:v>2</x:v>
      </x:c>
      <x:c r="C58" s="23" t="n">
        <x:v>0.075687978728</x:v>
      </x:c>
      <x:c r="D58" s="23" t="n">
        <x:v>0.075687978728</x:v>
      </x:c>
      <x:c r="E58" s="23" t="str"/>
      <x:c r="F58" s="23" t="str"/>
      <x:c r="G58" s="23" t="n">
        <x:v>0.159604194236</x:v>
      </x:c>
      <x:c r="H58" s="23" t="n">
        <x:v>0.159604194236</x:v>
      </x:c>
      <x:c r="I58" s="23" t="n">
        <x:v>-0.147528964853</x:v>
      </x:c>
      <x:c r="J58" s="23" t="str">
        <x:v>supersonic_M1p1_2p2</x:v>
      </x:c>
    </x:row>
    <x:row r="59">
      <x:c r="A59" s="23" t="n">
        <x:v>1.1</x:v>
      </x:c>
      <x:c r="B59" s="23" t="n">
        <x:v>3</x:v>
      </x:c>
      <x:c r="C59" s="23" t="n">
        <x:v>0.140548536924</x:v>
      </x:c>
      <x:c r="D59" s="23" t="n">
        <x:v>0.140548536924</x:v>
      </x:c>
      <x:c r="E59" s="23" t="str"/>
      <x:c r="F59" s="23" t="str"/>
      <x:c r="G59" s="23" t="n">
        <x:v>0.164107076165</x:v>
      </x:c>
      <x:c r="H59" s="23" t="n">
        <x:v>0.164107076165</x:v>
      </x:c>
      <x:c r="I59" s="23" t="n">
        <x:v>-0.213573882954</x:v>
      </x:c>
      <x:c r="J59" s="23" t="str">
        <x:v>supersonic_M1p1_2p2</x:v>
      </x:c>
    </x:row>
    <x:row r="60">
      <x:c r="A60" s="23" t="n">
        <x:v>1.1</x:v>
      </x:c>
      <x:c r="B60" s="23" t="n">
        <x:v>4</x:v>
      </x:c>
      <x:c r="C60" s="23" t="n">
        <x:v>0.206797992433</x:v>
      </x:c>
      <x:c r="D60" s="23" t="n">
        <x:v>0.206797992433</x:v>
      </x:c>
      <x:c r="E60" s="23" t="str"/>
      <x:c r="F60" s="23" t="str"/>
      <x:c r="G60" s="23" t="n">
        <x:v>0.169682440954</x:v>
      </x:c>
      <x:c r="H60" s="23" t="n">
        <x:v>0.169682440954</x:v>
      </x:c>
      <x:c r="I60" s="23" t="n">
        <x:v>-0.282109491904</x:v>
      </x:c>
      <x:c r="J60" s="23" t="str">
        <x:v>supersonic_M1p1_2p2</x:v>
      </x:c>
    </x:row>
    <x:row r="61">
      <x:c r="A61" s="23" t="n">
        <x:v>1.1</x:v>
      </x:c>
      <x:c r="B61" s="23" t="n">
        <x:v>5</x:v>
      </x:c>
      <x:c r="C61" s="23" t="n">
        <x:v>0.273137164697</x:v>
      </x:c>
      <x:c r="D61" s="23" t="n">
        <x:v>0.273137164697</x:v>
      </x:c>
      <x:c r="E61" s="23" t="str"/>
      <x:c r="F61" s="23" t="str"/>
      <x:c r="G61" s="23" t="n">
        <x:v>0.177189487833</x:v>
      </x:c>
      <x:c r="H61" s="23" t="n">
        <x:v>0.177189487833</x:v>
      </x:c>
      <x:c r="I61" s="23" t="n">
        <x:v>-0.351335426528</x:v>
      </x:c>
      <x:c r="J61" s="23" t="str">
        <x:v>supersonic_M1p1_2p2</x:v>
      </x:c>
    </x:row>
    <x:row r="62">
      <x:c r="A62" s="23" t="n">
        <x:v>1.2</x:v>
      </x:c>
      <x:c r="B62" s="23" t="n">
        <x:v>0</x:v>
      </x:c>
      <x:c r="C62" s="23" t="n">
        <x:v>0.046417138535</x:v>
      </x:c>
      <x:c r="D62" s="23" t="n">
        <x:v>0.046417138535</x:v>
      </x:c>
      <x:c r="E62" s="23" t="str"/>
      <x:c r="F62" s="23" t="str"/>
      <x:c r="G62" s="23" t="n">
        <x:v>0.081328407078</x:v>
      </x:c>
      <x:c r="H62" s="23" t="n">
        <x:v>0.081328407078</x:v>
      </x:c>
      <x:c r="I62" s="23" t="n">
        <x:v>-0.014348362961</x:v>
      </x:c>
      <x:c r="J62" s="23" t="str">
        <x:v>supersonic_M1p1_2p2</x:v>
      </x:c>
    </x:row>
    <x:row r="63">
      <x:c r="A63" s="23" t="n">
        <x:v>1.2</x:v>
      </x:c>
      <x:c r="B63" s="23" t="n">
        <x:v>1</x:v>
      </x:c>
      <x:c r="C63" s="23" t="n">
        <x:v>0.114943670291</x:v>
      </x:c>
      <x:c r="D63" s="23" t="n">
        <x:v>0.114943670291</x:v>
      </x:c>
      <x:c r="E63" s="23" t="str"/>
      <x:c r="F63" s="23" t="str"/>
      <x:c r="G63" s="23" t="n">
        <x:v>0.08274622109</x:v>
      </x:c>
      <x:c r="H63" s="23" t="n">
        <x:v>0.08274622109</x:v>
      </x:c>
      <x:c r="I63" s="23" t="n">
        <x:v>-0.08326286356</x:v>
      </x:c>
      <x:c r="J63" s="23" t="str">
        <x:v>supersonic_M1p1_2p2</x:v>
      </x:c>
    </x:row>
    <x:row r="64">
      <x:c r="A64" s="23" t="n">
        <x:v>1.2</x:v>
      </x:c>
      <x:c r="B64" s="23" t="n">
        <x:v>2</x:v>
      </x:c>
      <x:c r="C64" s="23" t="n">
        <x:v>0.183607953871</x:v>
      </x:c>
      <x:c r="D64" s="23" t="n">
        <x:v>0.183607953871</x:v>
      </x:c>
      <x:c r="E64" s="23" t="str"/>
      <x:c r="F64" s="23" t="str"/>
      <x:c r="G64" s="23" t="n">
        <x:v>0.086284205932</x:v>
      </x:c>
      <x:c r="H64" s="23" t="n">
        <x:v>0.086284205932</x:v>
      </x:c>
      <x:c r="I64" s="23" t="n">
        <x:v>-0.153147693176</x:v>
      </x:c>
      <x:c r="J64" s="23" t="str">
        <x:v>supersonic_M1p1_2p2</x:v>
      </x:c>
    </x:row>
    <x:row r="65">
      <x:c r="A65" s="23" t="n">
        <x:v>1.2</x:v>
      </x:c>
      <x:c r="B65" s="23" t="n">
        <x:v>3</x:v>
      </x:c>
      <x:c r="C65" s="23" t="n">
        <x:v>0.251433366266</x:v>
      </x:c>
      <x:c r="D65" s="23" t="n">
        <x:v>0.251433366266</x:v>
      </x:c>
      <x:c r="E65" s="23" t="str"/>
      <x:c r="F65" s="23" t="str"/>
      <x:c r="G65" s="23" t="n">
        <x:v>0.09181863161</x:v>
      </x:c>
      <x:c r="H65" s="23" t="n">
        <x:v>0.09181863161</x:v>
      </x:c>
      <x:c r="I65" s="23" t="n">
        <x:v>-0.222250966241</x:v>
      </x:c>
      <x:c r="J65" s="23" t="str">
        <x:v>supersonic_M1p1_2p2</x:v>
      </x:c>
    </x:row>
    <x:row r="66">
      <x:c r="A66" s="23" t="n">
        <x:v>1.2</x:v>
      </x:c>
      <x:c r="B66" s="23" t="n">
        <x:v>4</x:v>
      </x:c>
      <x:c r="C66" s="23" t="n">
        <x:v>0.318634825812</x:v>
      </x:c>
      <x:c r="D66" s="23" t="n">
        <x:v>0.318634825812</x:v>
      </x:c>
      <x:c r="E66" s="23" t="str"/>
      <x:c r="F66" s="23" t="str"/>
      <x:c r="G66" s="23" t="n">
        <x:v>0.099351342781</x:v>
      </x:c>
      <x:c r="H66" s="23" t="n">
        <x:v>0.099351342781</x:v>
      </x:c>
      <x:c r="I66" s="23" t="n">
        <x:v>-0.290891104493</x:v>
      </x:c>
      <x:c r="J66" s="23" t="str">
        <x:v>supersonic_M1p1_2p2</x:v>
      </x:c>
    </x:row>
    <x:row r="67">
      <x:c r="A67" s="23" t="n">
        <x:v>1.2</x:v>
      </x:c>
      <x:c r="B67" s="23" t="n">
        <x:v>5</x:v>
      </x:c>
      <x:c r="C67" s="23" t="n">
        <x:v>0.384914101681</x:v>
      </x:c>
      <x:c r="D67" s="23" t="n">
        <x:v>0.384914101681</x:v>
      </x:c>
      <x:c r="E67" s="23" t="str"/>
      <x:c r="F67" s="23" t="str"/>
      <x:c r="G67" s="23" t="n">
        <x:v>0.10885695931</x:v>
      </x:c>
      <x:c r="H67" s="23" t="n">
        <x:v>0.10885695931</x:v>
      </x:c>
      <x:c r="I67" s="23" t="n">
        <x:v>-0.358765765936</x:v>
      </x:c>
      <x:c r="J67" s="23" t="str">
        <x:v>supersonic_M1p1_2p2</x:v>
      </x:c>
    </x:row>
    <x:row r="68">
      <x:c r="A68" s="23" t="n">
        <x:v>1.3</x:v>
      </x:c>
      <x:c r="B68" s="23" t="n">
        <x:v>0</x:v>
      </x:c>
      <x:c r="C68" s="23" t="n">
        <x:v>0.042570594718</x:v>
      </x:c>
      <x:c r="D68" s="23" t="n">
        <x:v>0.042570594718</x:v>
      </x:c>
      <x:c r="E68" s="23" t="str"/>
      <x:c r="F68" s="23" t="str"/>
      <x:c r="G68" s="23" t="n">
        <x:v>0.067529799993</x:v>
      </x:c>
      <x:c r="H68" s="23" t="n">
        <x:v>0.067529799993</x:v>
      </x:c>
      <x:c r="I68" s="23" t="n">
        <x:v>-0.032366445706</x:v>
      </x:c>
      <x:c r="J68" s="23" t="str">
        <x:v>supersonic_M1p1_2p2</x:v>
      </x:c>
    </x:row>
    <x:row r="69">
      <x:c r="A69" s="23" t="n">
        <x:v>1.3</x:v>
      </x:c>
      <x:c r="B69" s="23" t="n">
        <x:v>1</x:v>
      </x:c>
      <x:c r="C69" s="23" t="n">
        <x:v>0.107074219844</x:v>
      </x:c>
      <x:c r="D69" s="23" t="n">
        <x:v>0.107074219844</x:v>
      </x:c>
      <x:c r="E69" s="23" t="str"/>
      <x:c r="F69" s="23" t="str"/>
      <x:c r="G69" s="23" t="n">
        <x:v>0.06893800438</x:v>
      </x:c>
      <x:c r="H69" s="23" t="n">
        <x:v>0.06893800438</x:v>
      </x:c>
      <x:c r="I69" s="23" t="n">
        <x:v>-0.096079985891</x:v>
      </x:c>
      <x:c r="J69" s="23" t="str">
        <x:v>supersonic_M1p1_2p2</x:v>
      </x:c>
    </x:row>
    <x:row r="70">
      <x:c r="A70" s="23" t="n">
        <x:v>1.3</x:v>
      </x:c>
      <x:c r="B70" s="23" t="n">
        <x:v>2</x:v>
      </x:c>
      <x:c r="C70" s="23" t="n">
        <x:v>0.171683083807</x:v>
      </x:c>
      <x:c r="D70" s="23" t="n">
        <x:v>0.171683083807</x:v>
      </x:c>
      <x:c r="E70" s="23" t="str"/>
      <x:c r="F70" s="23" t="str"/>
      <x:c r="G70" s="23" t="n">
        <x:v>0.072286791395</x:v>
      </x:c>
      <x:c r="H70" s="23" t="n">
        <x:v>0.072286791395</x:v>
      </x:c>
      <x:c r="I70" s="23" t="n">
        <x:v>-0.160786032173</x:v>
      </x:c>
      <x:c r="J70" s="23" t="str">
        <x:v>supersonic_M1p1_2p2</x:v>
      </x:c>
    </x:row>
    <x:row r="71">
      <x:c r="A71" s="23" t="n">
        <x:v>1.3</x:v>
      </x:c>
      <x:c r="B71" s="23" t="n">
        <x:v>3</x:v>
      </x:c>
      <x:c r="C71" s="23" t="n">
        <x:v>0.23586054706</x:v>
      </x:c>
      <x:c r="D71" s="23" t="n">
        <x:v>0.23586054706</x:v>
      </x:c>
      <x:c r="E71" s="23" t="str"/>
      <x:c r="F71" s="23" t="str"/>
      <x:c r="G71" s="23" t="n">
        <x:v>0.077639525949</x:v>
      </x:c>
      <x:c r="H71" s="23" t="n">
        <x:v>0.077639525949</x:v>
      </x:c>
      <x:c r="I71" s="23" t="n">
        <x:v>-0.225464677645</x:v>
      </x:c>
      <x:c r="J71" s="23" t="str">
        <x:v>supersonic_M1p1_2p2</x:v>
      </x:c>
    </x:row>
    <x:row r="72">
      <x:c r="A72" s="23" t="n">
        <x:v>1.3</x:v>
      </x:c>
      <x:c r="B72" s="23" t="n">
        <x:v>4</x:v>
      </x:c>
      <x:c r="C72" s="23" t="n">
        <x:v>0.299590600165</x:v>
      </x:c>
      <x:c r="D72" s="23" t="n">
        <x:v>0.299590600165</x:v>
      </x:c>
      <x:c r="E72" s="23" t="str"/>
      <x:c r="F72" s="23" t="str"/>
      <x:c r="G72" s="23" t="n">
        <x:v>0.084856260708</x:v>
      </x:c>
      <x:c r="H72" s="23" t="n">
        <x:v>0.084856260708</x:v>
      </x:c>
      <x:c r="I72" s="23" t="n">
        <x:v>-0.289945726308</x:v>
      </x:c>
      <x:c r="J72" s="23" t="str">
        <x:v>supersonic_M1p1_2p2</x:v>
      </x:c>
    </x:row>
    <x:row r="73">
      <x:c r="A73" s="23" t="n">
        <x:v>1.3</x:v>
      </x:c>
      <x:c r="B73" s="23" t="n">
        <x:v>5</x:v>
      </x:c>
      <x:c r="C73" s="23" t="n">
        <x:v>0.362392544422</x:v>
      </x:c>
      <x:c r="D73" s="23" t="n">
        <x:v>0.362392544422</x:v>
      </x:c>
      <x:c r="E73" s="23" t="str"/>
      <x:c r="F73" s="23" t="str"/>
      <x:c r="G73" s="23" t="n">
        <x:v>0.094013639586</x:v>
      </x:c>
      <x:c r="H73" s="23" t="n">
        <x:v>0.094013639586</x:v>
      </x:c>
      <x:c r="I73" s="23" t="n">
        <x:v>-0.353610726273</x:v>
      </x:c>
      <x:c r="J73" s="23" t="str">
        <x:v>supersonic_M1p1_2p2</x:v>
      </x:c>
    </x:row>
    <x:row r="74">
      <x:c r="A74" s="23" t="n">
        <x:v>1.4</x:v>
      </x:c>
      <x:c r="B74" s="23" t="n">
        <x:v>0</x:v>
      </x:c>
      <x:c r="C74" s="23" t="n">
        <x:v>47226428226.483246</x:v>
      </x:c>
      <x:c r="D74" s="23" t="n">
        <x:v>47226428226.483246</x:v>
      </x:c>
      <x:c r="E74" s="23" t="str"/>
      <x:c r="F74" s="23" t="str"/>
      <x:c r="G74" s="23" t="n">
        <x:v>87442616978.27988</x:v>
      </x:c>
      <x:c r="H74" s="23" t="n">
        <x:v>87442616978.27988</x:v>
      </x:c>
      <x:c r="I74" s="23" t="n">
        <x:v>-35196233527.655785</x:v>
      </x:c>
      <x:c r="J74" s="23" t="str">
        <x:v>supersonic_M1p1_2p2</x:v>
      </x:c>
    </x:row>
    <x:row r="75">
      <x:c r="A75" s="23" t="n">
        <x:v>1.4</x:v>
      </x:c>
      <x:c r="B75" s="23" t="n">
        <x:v>1</x:v>
      </x:c>
      <x:c r="C75" s="23" t="n">
        <x:v>-6.221612769122886e+38</x:v>
      </x:c>
      <x:c r="D75" s="23" t="n">
        <x:v>-6.221612769122886e+38</x:v>
      </x:c>
      <x:c r="E75" s="23" t="str"/>
      <x:c r="F75" s="23" t="str"/>
      <x:c r="G75" s="23" t="n">
        <x:v>4.681639024474544e+38</x:v>
      </x:c>
      <x:c r="H75" s="23" t="n">
        <x:v>4.681639024474544e+38</x:v>
      </x:c>
      <x:c r="I75" s="23" t="n">
        <x:v>1.6391656735017932e+39</x:v>
      </x:c>
      <x:c r="J75" s="23" t="str">
        <x:v>supersonic_M1p1_2p2</x:v>
      </x:c>
    </x:row>
    <x:row r="76">
      <x:c r="A76" s="23" t="n">
        <x:v>1.4</x:v>
      </x:c>
      <x:c r="B76" s="23" t="n">
        <x:v>2</x:v>
      </x:c>
      <x:c r="C76" s="23" t="n">
        <x:v>-3.998378344705965e+34</x:v>
      </x:c>
      <x:c r="D76" s="23" t="n">
        <x:v>-3.998378344705965e+34</x:v>
      </x:c>
      <x:c r="E76" s="23" t="str"/>
      <x:c r="F76" s="23" t="str"/>
      <x:c r="G76" s="23" t="n">
        <x:v>2.866414147550582e+34</x:v>
      </x:c>
      <x:c r="H76" s="23" t="n">
        <x:v>2.866414147550582e+34</x:v>
      </x:c>
      <x:c r="I76" s="23" t="n">
        <x:v>1.0360360972532806e+35</x:v>
      </x:c>
      <x:c r="J76" s="23" t="str">
        <x:v>supersonic_M1p1_2p2</x:v>
      </x:c>
    </x:row>
    <x:row r="77">
      <x:c r="A77" s="23" t="n">
        <x:v>1.4</x:v>
      </x:c>
      <x:c r="B77" s="23" t="n">
        <x:v>3</x:v>
      </x:c>
      <x:c r="C77" s="23" t="n">
        <x:v>-2.906321904218544e+34</x:v>
      </x:c>
      <x:c r="D77" s="23" t="n">
        <x:v>-2.906321904218544e+34</x:v>
      </x:c>
      <x:c r="E77" s="23" t="str"/>
      <x:c r="F77" s="23" t="str"/>
      <x:c r="G77" s="23" t="n">
        <x:v>2.0533008691024593e+34</x:v>
      </x:c>
      <x:c r="H77" s="23" t="n">
        <x:v>2.0533008691024593e+34</x:v>
      </x:c>
      <x:c r="I77" s="23" t="n">
        <x:v>7.4618984520486205e+34</x:v>
      </x:c>
      <x:c r="J77" s="23" t="str">
        <x:v>supersonic_M1p1_2p2</x:v>
      </x:c>
    </x:row>
    <x:row r="78">
      <x:c r="A78" s="23" t="n">
        <x:v>1.4</x:v>
      </x:c>
      <x:c r="B78" s="23" t="n">
        <x:v>4</x:v>
      </x:c>
      <x:c r="C78" s="23" t="n">
        <x:v>-4.889834411696369e+36</x:v>
      </x:c>
      <x:c r="D78" s="23" t="n">
        <x:v>-4.889834411696369e+36</x:v>
      </x:c>
      <x:c r="E78" s="23" t="str"/>
      <x:c r="F78" s="23" t="str"/>
      <x:c r="G78" s="23" t="n">
        <x:v>3.333803813276967e+36</x:v>
      </x:c>
      <x:c r="H78" s="23" t="n">
        <x:v>3.333803813276967e+36</x:v>
      </x:c>
      <x:c r="I78" s="23" t="n">
        <x:v>1.2404781674292162e+37</x:v>
      </x:c>
      <x:c r="J78" s="23" t="str">
        <x:v>supersonic_M1p1_2p2</x:v>
      </x:c>
    </x:row>
    <x:row r="79">
      <x:c r="A79" s="23" t="n">
        <x:v>1.4</x:v>
      </x:c>
      <x:c r="B79" s="23" t="n">
        <x:v>5</x:v>
      </x:c>
      <x:c r="C79" s="23" t="n">
        <x:v>-5.695429936030345e+37</x:v>
      </x:c>
      <x:c r="D79" s="23" t="n">
        <x:v>-5.695429936030345e+37</x:v>
      </x:c>
      <x:c r="E79" s="23" t="str"/>
      <x:c r="F79" s="23" t="str"/>
      <x:c r="G79" s="23" t="n">
        <x:v>3.7396019741476304e+37</x:v>
      </x:c>
      <x:c r="H79" s="23" t="n">
        <x:v>3.7396019741476304e+37</x:v>
      </x:c>
      <x:c r="I79" s="23" t="n">
        <x:v>1.4291430935274562e+38</x:v>
      </x:c>
      <x:c r="J79" s="23" t="str">
        <x:v>supersonic_M1p1_2p2</x:v>
      </x:c>
    </x:row>
    <x:row r="80">
      <x:c r="A80" s="23" t="n">
        <x:v>1.6</x:v>
      </x:c>
      <x:c r="B80" s="23" t="n">
        <x:v>0</x:v>
      </x:c>
      <x:c r="C80" s="23" t="n">
        <x:v>0.043681351643</x:v>
      </x:c>
      <x:c r="D80" s="23" t="n">
        <x:v>0.043681351643</x:v>
      </x:c>
      <x:c r="E80" s="23" t="str"/>
      <x:c r="F80" s="23" t="str"/>
      <x:c r="G80" s="23" t="n">
        <x:v>0.04977572067</x:v>
      </x:c>
      <x:c r="H80" s="23" t="n">
        <x:v>0.04977572067</x:v>
      </x:c>
      <x:c r="I80" s="23" t="n">
        <x:v>-0.042201430729</x:v>
      </x:c>
      <x:c r="J80" s="23" t="str">
        <x:v>supersonic_M1p1_2p2</x:v>
      </x:c>
    </x:row>
    <x:row r="81">
      <x:c r="A81" s="23" t="n">
        <x:v>1.6</x:v>
      </x:c>
      <x:c r="B81" s="23" t="n">
        <x:v>1</x:v>
      </x:c>
      <x:c r="C81" s="23" t="n">
        <x:v>0.101032844591</x:v>
      </x:c>
      <x:c r="D81" s="23" t="n">
        <x:v>0.101032844591</x:v>
      </x:c>
      <x:c r="E81" s="23" t="str"/>
      <x:c r="F81" s="23" t="str"/>
      <x:c r="G81" s="23" t="n">
        <x:v>0.05137188227</x:v>
      </x:c>
      <x:c r="H81" s="23" t="n">
        <x:v>0.05137188227</x:v>
      </x:c>
      <x:c r="I81" s="23" t="n">
        <x:v>-0.107186207191</x:v>
      </x:c>
      <x:c r="J81" s="23" t="str">
        <x:v>supersonic_M1p1_2p2</x:v>
      </x:c>
    </x:row>
    <x:row r="82">
      <x:c r="A82" s="23" t="n">
        <x:v>1.6</x:v>
      </x:c>
      <x:c r="B82" s="23" t="n">
        <x:v>2</x:v>
      </x:c>
      <x:c r="C82" s="23" t="n">
        <x:v>0.157860262488</x:v>
      </x:c>
      <x:c r="D82" s="23" t="n">
        <x:v>0.157860262488</x:v>
      </x:c>
      <x:c r="E82" s="23" t="str"/>
      <x:c r="F82" s="23" t="str"/>
      <x:c r="G82" s="23" t="n">
        <x:v>0.054755802892</x:v>
      </x:c>
      <x:c r="H82" s="23" t="n">
        <x:v>0.054755802892</x:v>
      </x:c>
      <x:c r="I82" s="23" t="n">
        <x:v>-0.171587678281</x:v>
      </x:c>
      <x:c r="J82" s="23" t="str">
        <x:v>supersonic_M1p1_2p2</x:v>
      </x:c>
    </x:row>
    <x:row r="83">
      <x:c r="A83" s="23" t="n">
        <x:v>1.6</x:v>
      </x:c>
      <x:c r="B83" s="23" t="n">
        <x:v>3</x:v>
      </x:c>
      <x:c r="C83" s="23" t="n">
        <x:v>0.214013977687</x:v>
      </x:c>
      <x:c r="D83" s="23" t="n">
        <x:v>0.214013977687</x:v>
      </x:c>
      <x:c r="E83" s="23" t="str"/>
      <x:c r="F83" s="23" t="str"/>
      <x:c r="G83" s="23" t="n">
        <x:v>0.059900325134</x:v>
      </x:c>
      <x:c r="H83" s="23" t="n">
        <x:v>0.059900325134</x:v>
      </x:c>
      <x:c r="I83" s="23" t="n">
        <x:v>-0.235389394587</x:v>
      </x:c>
      <x:c r="J83" s="23" t="str">
        <x:v>supersonic_M1p1_2p2</x:v>
      </x:c>
    </x:row>
    <x:row r="84">
      <x:c r="A84" s="23" t="n">
        <x:v>1.6</x:v>
      </x:c>
      <x:c r="B84" s="23" t="n">
        <x:v>4</x:v>
      </x:c>
      <x:c r="C84" s="23" t="n">
        <x:v>0.269401960819</x:v>
      </x:c>
      <x:c r="D84" s="23" t="n">
        <x:v>0.269401960819</x:v>
      </x:c>
      <x:c r="E84" s="23" t="str"/>
      <x:c r="F84" s="23" t="str"/>
      <x:c r="G84" s="23" t="n">
        <x:v>0.066777903274</x:v>
      </x:c>
      <x:c r="H84" s="23" t="n">
        <x:v>0.066777903274</x:v>
      </x:c>
      <x:c r="I84" s="23" t="n">
        <x:v>-0.298541919709</x:v>
      </x:c>
      <x:c r="J84" s="23" t="str">
        <x:v>supersonic_M1p1_2p2</x:v>
      </x:c>
    </x:row>
    <x:row r="85">
      <x:c r="A85" s="23" t="n">
        <x:v>1.6</x:v>
      </x:c>
      <x:c r="B85" s="23" t="n">
        <x:v>5</x:v>
      </x:c>
      <x:c r="C85" s="23" t="n">
        <x:v>0.323788197879</x:v>
      </x:c>
      <x:c r="D85" s="23" t="n">
        <x:v>0.323788197879</x:v>
      </x:c>
      <x:c r="E85" s="23" t="str"/>
      <x:c r="F85" s="23" t="str"/>
      <x:c r="G85" s="23" t="n">
        <x:v>0.075350153708</x:v>
      </x:c>
      <x:c r="H85" s="23" t="n">
        <x:v>0.075350153708</x:v>
      </x:c>
      <x:c r="I85" s="23" t="n">
        <x:v>-0.360663952542</x:v>
      </x:c>
      <x:c r="J85" s="23" t="str">
        <x:v>supersonic_M1p1_2p2</x:v>
      </x:c>
    </x:row>
    <x:row r="86">
      <x:c r="A86" s="23" t="n">
        <x:v>1.7</x:v>
      </x:c>
      <x:c r="B86" s="23" t="n">
        <x:v>0</x:v>
      </x:c>
      <x:c r="C86" s="23" t="n">
        <x:v>0.035966969673</x:v>
      </x:c>
      <x:c r="D86" s="23" t="n">
        <x:v>0.035966969673</x:v>
      </x:c>
      <x:c r="E86" s="23" t="str"/>
      <x:c r="F86" s="23" t="str"/>
      <x:c r="G86" s="23" t="n">
        <x:v>0.045256693588</x:v>
      </x:c>
      <x:c r="H86" s="23" t="n">
        <x:v>0.045256693588</x:v>
      </x:c>
      <x:c r="I86" s="23" t="n">
        <x:v>-0.024300389598</x:v>
      </x:c>
      <x:c r="J86" s="23" t="str">
        <x:v>supersonic_M1p1_2p2</x:v>
      </x:c>
    </x:row>
    <x:row r="87">
      <x:c r="A87" s="23" t="n">
        <x:v>1.7</x:v>
      </x:c>
      <x:c r="B87" s="23" t="n">
        <x:v>1</x:v>
      </x:c>
      <x:c r="C87" s="23" t="n">
        <x:v>0.093365102857</x:v>
      </x:c>
      <x:c r="D87" s="23" t="n">
        <x:v>0.093365102857</x:v>
      </x:c>
      <x:c r="E87" s="23" t="str"/>
      <x:c r="F87" s="23" t="str"/>
      <x:c r="G87" s="23" t="n">
        <x:v>0.04682790565</x:v>
      </x:c>
      <x:c r="H87" s="23" t="n">
        <x:v>0.04682790565</x:v>
      </x:c>
      <x:c r="I87" s="23" t="n">
        <x:v>-0.092403733926</x:v>
      </x:c>
      <x:c r="J87" s="23" t="str">
        <x:v>supersonic_M1p1_2p2</x:v>
      </x:c>
    </x:row>
    <x:row r="88">
      <x:c r="A88" s="23" t="n">
        <x:v>1.7</x:v>
      </x:c>
      <x:c r="B88" s="23" t="n">
        <x:v>2</x:v>
      </x:c>
      <x:c r="C88" s="23" t="n">
        <x:v>0.148340248584</x:v>
      </x:c>
      <x:c r="D88" s="23" t="n">
        <x:v>0.148340248584</x:v>
      </x:c>
      <x:c r="E88" s="23" t="str"/>
      <x:c r="F88" s="23" t="str"/>
      <x:c r="G88" s="23" t="n">
        <x:v>0.050185311085</x:v>
      </x:c>
      <x:c r="H88" s="23" t="n">
        <x:v>0.050185311085</x:v>
      </x:c>
      <x:c r="I88" s="23" t="n">
        <x:v>-0.155257672373</x:v>
      </x:c>
      <x:c r="J88" s="23" t="str">
        <x:v>supersonic_M1p1_2p2</x:v>
      </x:c>
    </x:row>
    <x:row r="89">
      <x:c r="A89" s="23" t="n">
        <x:v>1.7</x:v>
      </x:c>
      <x:c r="B89" s="23" t="n">
        <x:v>3</x:v>
      </x:c>
      <x:c r="C89" s="23" t="n">
        <x:v>0.202641112341</x:v>
      </x:c>
      <x:c r="D89" s="23" t="n">
        <x:v>0.202641112341</x:v>
      </x:c>
      <x:c r="E89" s="23" t="str"/>
      <x:c r="F89" s="23" t="str"/>
      <x:c r="G89" s="23" t="n">
        <x:v>0.055275665065</x:v>
      </x:c>
      <x:c r="H89" s="23" t="n">
        <x:v>0.055275665065</x:v>
      </x:c>
      <x:c r="I89" s="23" t="n">
        <x:v>-0.217259818833</x:v>
      </x:c>
      <x:c r="J89" s="23" t="str">
        <x:v>supersonic_M1p1_2p2</x:v>
      </x:c>
    </x:row>
    <x:row r="90">
      <x:c r="A90" s="23" t="n">
        <x:v>1.7</x:v>
      </x:c>
      <x:c r="B90" s="23" t="n">
        <x:v>4</x:v>
      </x:c>
      <x:c r="C90" s="23" t="n">
        <x:v>0.256249956119</x:v>
      </x:c>
      <x:c r="D90" s="23" t="n">
        <x:v>0.256249956119</x:v>
      </x:c>
      <x:c r="E90" s="23" t="str"/>
      <x:c r="F90" s="23" t="str"/>
      <x:c r="G90" s="23" t="n">
        <x:v>0.062069319466</x:v>
      </x:c>
      <x:c r="H90" s="23" t="n">
        <x:v>0.062069319466</x:v>
      </x:c>
      <x:c r="I90" s="23" t="n">
        <x:v>-0.278619665542</x:v>
      </x:c>
      <x:c r="J90" s="23" t="str">
        <x:v>supersonic_M1p1_2p2</x:v>
      </x:c>
    </x:row>
    <x:row r="91">
      <x:c r="A91" s="23" t="n">
        <x:v>1.7</x:v>
      </x:c>
      <x:c r="B91" s="23" t="n">
        <x:v>5</x:v>
      </x:c>
      <x:c r="C91" s="23" t="n">
        <x:v>0.308756888692</x:v>
      </x:c>
      <x:c r="D91" s="23" t="n">
        <x:v>0.308756888692</x:v>
      </x:c>
      <x:c r="E91" s="23" t="str"/>
      <x:c r="F91" s="23" t="str"/>
      <x:c r="G91" s="23" t="n">
        <x:v>0.070524712311</x:v>
      </x:c>
      <x:c r="H91" s="23" t="n">
        <x:v>0.070524712311</x:v>
      </x:c>
      <x:c r="I91" s="23" t="n">
        <x:v>-0.338560178136</x:v>
      </x:c>
      <x:c r="J91" s="23" t="str">
        <x:v>supersonic_M1p1_2p2</x:v>
      </x:c>
    </x:row>
    <x:row r="92">
      <x:c r="A92" s="23" t="n">
        <x:v>1.8</x:v>
      </x:c>
      <x:c r="B92" s="23" t="n">
        <x:v>0</x:v>
      </x:c>
      <x:c r="C92" s="23" t="n">
        <x:v>0.03781069549</x:v>
      </x:c>
      <x:c r="D92" s="23" t="n">
        <x:v>0.03781069549</x:v>
      </x:c>
      <x:c r="E92" s="23" t="str"/>
      <x:c r="F92" s="23" t="str"/>
      <x:c r="G92" s="23" t="n">
        <x:v>0.039348718082</x:v>
      </x:c>
      <x:c r="H92" s="23" t="n">
        <x:v>0.039348718082</x:v>
      </x:c>
      <x:c r="I92" s="23" t="n">
        <x:v>-0.03471759671</x:v>
      </x:c>
      <x:c r="J92" s="23" t="str">
        <x:v>supersonic_M1p1_2p2</x:v>
      </x:c>
    </x:row>
    <x:row r="93">
      <x:c r="A93" s="23" t="n">
        <x:v>1.8</x:v>
      </x:c>
      <x:c r="B93" s="23" t="n">
        <x:v>1</x:v>
      </x:c>
      <x:c r="C93" s="23" t="n">
        <x:v>0.090559634808</x:v>
      </x:c>
      <x:c r="D93" s="23" t="n">
        <x:v>0.090559634808</x:v>
      </x:c>
      <x:c r="E93" s="23" t="str"/>
      <x:c r="F93" s="23" t="str"/>
      <x:c r="G93" s="23" t="n">
        <x:v>0.041323349405</x:v>
      </x:c>
      <x:c r="H93" s="23" t="n">
        <x:v>0.041323349405</x:v>
      </x:c>
      <x:c r="I93" s="23" t="n">
        <x:v>-0.094351900586</x:v>
      </x:c>
      <x:c r="J93" s="23" t="str">
        <x:v>supersonic_M1p1_2p2</x:v>
      </x:c>
    </x:row>
    <x:row r="94">
      <x:c r="A94" s="23" t="n">
        <x:v>1.8</x:v>
      </x:c>
      <x:c r="B94" s="23" t="n">
        <x:v>2</x:v>
      </x:c>
      <x:c r="C94" s="23" t="n">
        <x:v>0.144663545594</x:v>
      </x:c>
      <x:c r="D94" s="23" t="n">
        <x:v>0.144663545594</x:v>
      </x:c>
      <x:c r="E94" s="23" t="str"/>
      <x:c r="F94" s="23" t="str"/>
      <x:c r="G94" s="23" t="n">
        <x:v>0.045703988185</x:v>
      </x:c>
      <x:c r="H94" s="23" t="n">
        <x:v>0.045703988185</x:v>
      </x:c>
      <x:c r="I94" s="23" t="n">
        <x:v>-0.157519771278</x:v>
      </x:c>
      <x:c r="J94" s="23" t="str">
        <x:v>supersonic_M1p1_2p2</x:v>
      </x:c>
    </x:row>
    <x:row r="95">
      <x:c r="A95" s="23" t="n">
        <x:v>1.8</x:v>
      </x:c>
      <x:c r="B95" s="23" t="n">
        <x:v>3</x:v>
      </x:c>
      <x:c r="C95" s="23" t="n">
        <x:v>0.199444553059</x:v>
      </x:c>
      <x:c r="D95" s="23" t="n">
        <x:v>0.199444553059</x:v>
      </x:c>
      <x:c r="E95" s="23" t="str"/>
      <x:c r="F95" s="23" t="str"/>
      <x:c r="G95" s="23" t="n">
        <x:v>0.052524889802</x:v>
      </x:c>
      <x:c r="H95" s="23" t="n">
        <x:v>0.052524889802</x:v>
      </x:c>
      <x:c r="I95" s="23" t="n">
        <x:v>-0.223014275327</x:v>
      </x:c>
      <x:c r="J95" s="23" t="str">
        <x:v>supersonic_M1p1_2p2</x:v>
      </x:c>
    </x:row>
    <x:row r="96">
      <x:c r="A96" s="23" t="n">
        <x:v>1.8</x:v>
      </x:c>
      <x:c r="B96" s="23" t="n">
        <x:v>4</x:v>
      </x:c>
      <x:c r="C96" s="23" t="n">
        <x:v>0.254607843586</x:v>
      </x:c>
      <x:c r="D96" s="23" t="n">
        <x:v>0.254607843586</x:v>
      </x:c>
      <x:c r="E96" s="23" t="str"/>
      <x:c r="F96" s="23" t="str"/>
      <x:c r="G96" s="23" t="n">
        <x:v>0.061727992807</x:v>
      </x:c>
      <x:c r="H96" s="23" t="n">
        <x:v>0.061727992807</x:v>
      </x:c>
      <x:c r="I96" s="23" t="n">
        <x:v>-0.290396953696</x:v>
      </x:c>
      <x:c r="J96" s="23" t="str">
        <x:v>supersonic_M1p1_2p2</x:v>
      </x:c>
    </x:row>
    <x:row r="97">
      <x:c r="A97" s="23" t="n">
        <x:v>1.8</x:v>
      </x:c>
      <x:c r="B97" s="23" t="n">
        <x:v>5</x:v>
      </x:c>
      <x:c r="C97" s="23" t="n">
        <x:v>0.309657182557</x:v>
      </x:c>
      <x:c r="D97" s="23" t="n">
        <x:v>0.309657182557</x:v>
      </x:c>
      <x:c r="E97" s="23" t="str"/>
      <x:c r="F97" s="23" t="str"/>
      <x:c r="G97" s="23" t="n">
        <x:v>0.073339491923</x:v>
      </x:c>
      <x:c r="H97" s="23" t="n">
        <x:v>0.073339491923</x:v>
      </x:c>
      <x:c r="I97" s="23" t="n">
        <x:v>-0.358726475626</x:v>
      </x:c>
      <x:c r="J97" s="23" t="str">
        <x:v>supersonic_M1p1_2p2</x:v>
      </x:c>
    </x:row>
    <x:row r="98">
      <x:c r="A98" s="23" t="n">
        <x:v>1.9</x:v>
      </x:c>
      <x:c r="B98" s="23" t="n">
        <x:v>0</x:v>
      </x:c>
      <x:c r="C98" s="23" t="n">
        <x:v>0.035538284535</x:v>
      </x:c>
      <x:c r="D98" s="23" t="n">
        <x:v>0.035538284535</x:v>
      </x:c>
      <x:c r="E98" s="23" t="str"/>
      <x:c r="F98" s="23" t="str"/>
      <x:c r="G98" s="23" t="n">
        <x:v>0.041061386134</x:v>
      </x:c>
      <x:c r="H98" s="23" t="n">
        <x:v>0.041061386134</x:v>
      </x:c>
      <x:c r="I98" s="23" t="n">
        <x:v>-0.03563005251</x:v>
      </x:c>
      <x:c r="J98" s="23" t="str">
        <x:v>supersonic_M1p1_2p2</x:v>
      </x:c>
    </x:row>
    <x:row r="99">
      <x:c r="A99" s="23" t="n">
        <x:v>1.9</x:v>
      </x:c>
      <x:c r="B99" s="23" t="n">
        <x:v>1</x:v>
      </x:c>
      <x:c r="C99" s="23" t="n">
        <x:v>0.094589889663</x:v>
      </x:c>
      <x:c r="D99" s="23" t="n">
        <x:v>0.094589889663</x:v>
      </x:c>
      <x:c r="E99" s="23" t="str"/>
      <x:c r="F99" s="23" t="str"/>
      <x:c r="G99" s="23" t="n">
        <x:v>0.054112271184</x:v>
      </x:c>
      <x:c r="H99" s="23" t="n">
        <x:v>0.054112271184</x:v>
      </x:c>
      <x:c r="I99" s="23" t="n">
        <x:v>-0.113894767387</x:v>
      </x:c>
      <x:c r="J99" s="23" t="str">
        <x:v>supersonic_M1p1_2p2</x:v>
      </x:c>
    </x:row>
    <x:row r="100">
      <x:c r="A100" s="23" t="n">
        <x:v>1.9</x:v>
      </x:c>
      <x:c r="B100" s="23" t="n">
        <x:v>2</x:v>
      </x:c>
      <x:c r="C100" s="23" t="n">
        <x:v>0.158204039448</x:v>
      </x:c>
      <x:c r="D100" s="23" t="n">
        <x:v>0.158204039448</x:v>
      </x:c>
      <x:c r="E100" s="23" t="str"/>
      <x:c r="F100" s="23" t="str"/>
      <x:c r="G100" s="23" t="n">
        <x:v>0.075151704262</x:v>
      </x:c>
      <x:c r="H100" s="23" t="n">
        <x:v>0.075151704262</x:v>
      </x:c>
      <x:c r="I100" s="23" t="n">
        <x:v>-0.203645380218</x:v>
      </x:c>
      <x:c r="J100" s="23" t="str">
        <x:v>supersonic_M1p1_2p2</x:v>
      </x:c>
    </x:row>
    <x:row r="101">
      <x:c r="A101" s="23" t="n">
        <x:v>1.9</x:v>
      </x:c>
      <x:c r="B101" s="23" t="n">
        <x:v>3</x:v>
      </x:c>
      <x:c r="C101" s="23" t="n">
        <x:v>0.225547552906</x:v>
      </x:c>
      <x:c r="D101" s="23" t="n">
        <x:v>0.225547552906</x:v>
      </x:c>
      <x:c r="E101" s="23" t="str"/>
      <x:c r="F101" s="23" t="str"/>
      <x:c r="G101" s="23" t="n">
        <x:v>0.104007915641</x:v>
      </x:c>
      <x:c r="H101" s="23" t="n">
        <x:v>0.104007915641</x:v>
      </x:c>
      <x:c r="I101" s="23" t="n">
        <x:v>-0.303931740532</x:v>
      </x:c>
      <x:c r="J101" s="23" t="str">
        <x:v>supersonic_M1p1_2p2</x:v>
      </x:c>
    </x:row>
    <x:row r="102">
      <x:c r="A102" s="23" t="n">
        <x:v>1.9</x:v>
      </x:c>
      <x:c r="B102" s="23" t="n">
        <x:v>4</x:v>
      </x:c>
      <x:c r="C102" s="23" t="n">
        <x:v>0.295867222624</x:v>
      </x:c>
      <x:c r="D102" s="23" t="n">
        <x:v>0.295867222624</x:v>
      </x:c>
      <x:c r="E102" s="23" t="str"/>
      <x:c r="F102" s="23" t="str"/>
      <x:c r="G102" s="23" t="n">
        <x:v>0.140335863887</x:v>
      </x:c>
      <x:c r="H102" s="23" t="n">
        <x:v>0.140335863887</x:v>
      </x:c>
      <x:c r="I102" s="23" t="n">
        <x:v>-0.413795555851</x:v>
      </x:c>
      <x:c r="J102" s="23" t="str">
        <x:v>supersonic_M1p1_2p2</x:v>
      </x:c>
    </x:row>
    <x:row r="103">
      <x:c r="A103" s="23" t="n">
        <x:v>1.9</x:v>
      </x:c>
      <x:c r="B103" s="23" t="n">
        <x:v>5</x:v>
      </x:c>
      <x:c r="C103" s="23" t="n">
        <x:v>0.368393998073</x:v>
      </x:c>
      <x:c r="D103" s="23" t="n">
        <x:v>0.368393998073</x:v>
      </x:c>
      <x:c r="E103" s="23" t="str"/>
      <x:c r="F103" s="23" t="str"/>
      <x:c r="G103" s="23" t="n">
        <x:v>0.184082563733</x:v>
      </x:c>
      <x:c r="H103" s="23" t="n">
        <x:v>0.184082563733</x:v>
      </x:c>
      <x:c r="I103" s="23" t="n">
        <x:v>-0.532426374272</x:v>
      </x:c>
      <x:c r="J103" s="23" t="str">
        <x:v>supersonic_M1p1_2p2</x:v>
      </x:c>
    </x:row>
    <x:row r="104">
      <x:c r="A104" s="23" t="n">
        <x:v>2</x:v>
      </x:c>
      <x:c r="B104" s="23" t="n">
        <x:v>0</x:v>
      </x:c>
      <x:c r="C104" s="23" t="n">
        <x:v>0.048619217169</x:v>
      </x:c>
      <x:c r="D104" s="23" t="n">
        <x:v>0.048619217169</x:v>
      </x:c>
      <x:c r="E104" s="23" t="str"/>
      <x:c r="F104" s="23" t="str"/>
      <x:c r="G104" s="23" t="n">
        <x:v>0.192578901235</x:v>
      </x:c>
      <x:c r="H104" s="23" t="n">
        <x:v>0.192578901235</x:v>
      </x:c>
      <x:c r="I104" s="23" t="n">
        <x:v>-0.173865761634</x:v>
      </x:c>
      <x:c r="J104" s="23" t="str">
        <x:v>supersonic_M1p1_2p2</x:v>
      </x:c>
    </x:row>
    <x:row r="105">
      <x:c r="A105" s="23" t="n">
        <x:v>2</x:v>
      </x:c>
      <x:c r="B105" s="23" t="n">
        <x:v>1</x:v>
      </x:c>
      <x:c r="C105" s="23" t="n">
        <x:v>0.136998514061</x:v>
      </x:c>
      <x:c r="D105" s="23" t="n">
        <x:v>0.136998514061</x:v>
      </x:c>
      <x:c r="E105" s="23" t="str"/>
      <x:c r="F105" s="23" t="str"/>
      <x:c r="G105" s="23" t="n">
        <x:v>0.368166879971</x:v>
      </x:c>
      <x:c r="H105" s="23" t="n">
        <x:v>0.368166879971</x:v>
      </x:c>
      <x:c r="I105" s="23" t="n">
        <x:v>-0.329051917225</x:v>
      </x:c>
      <x:c r="J105" s="23" t="str">
        <x:v>supersonic_M1p1_2p2</x:v>
      </x:c>
    </x:row>
    <x:row r="106">
      <x:c r="A106" s="23" t="n">
        <x:v>2</x:v>
      </x:c>
      <x:c r="B106" s="23" t="n">
        <x:v>2</x:v>
      </x:c>
      <x:c r="C106" s="23" t="n">
        <x:v>0.252368443032</x:v>
      </x:c>
      <x:c r="D106" s="23" t="n">
        <x:v>0.252368443032</x:v>
      </x:c>
      <x:c r="E106" s="23" t="str"/>
      <x:c r="F106" s="23" t="str"/>
      <x:c r="G106" s="23" t="n">
        <x:v>0.673401132523</x:v>
      </x:c>
      <x:c r="H106" s="23" t="n">
        <x:v>0.673401132523</x:v>
      </x:c>
      <x:c r="I106" s="23" t="n">
        <x:v>-0.57067603218</x:v>
      </x:c>
      <x:c r="J106" s="23" t="str">
        <x:v>supersonic_M1p1_2p2</x:v>
      </x:c>
    </x:row>
    <x:row r="107">
      <x:c r="A107" s="23" t="n">
        <x:v>2</x:v>
      </x:c>
      <x:c r="B107" s="23" t="n">
        <x:v>3</x:v>
      </x:c>
      <x:c r="C107" s="23" t="n">
        <x:v>0.385667166223</x:v>
      </x:c>
      <x:c r="D107" s="23" t="n">
        <x:v>0.385667166223</x:v>
      </x:c>
      <x:c r="E107" s="23" t="str"/>
      <x:c r="F107" s="23" t="str"/>
      <x:c r="G107" s="23" t="n">
        <x:v>1.11213591659</x:v>
      </x:c>
      <x:c r="H107" s="23" t="n">
        <x:v>1.11213591659</x:v>
      </x:c>
      <x:c r="I107" s="23" t="n">
        <x:v>-0.892976685108</x:v>
      </x:c>
      <x:c r="J107" s="23" t="str">
        <x:v>supersonic_M1p1_2p2</x:v>
      </x:c>
    </x:row>
    <x:row r="108">
      <x:c r="A108" s="23" t="n">
        <x:v>2</x:v>
      </x:c>
      <x:c r="B108" s="23" t="n">
        <x:v>4</x:v>
      </x:c>
      <x:c r="C108" s="23" t="n">
        <x:v>0.530357457471</x:v>
      </x:c>
      <x:c r="D108" s="23" t="n">
        <x:v>0.530357457471</x:v>
      </x:c>
      <x:c r="E108" s="23" t="str"/>
      <x:c r="F108" s="23" t="str"/>
      <x:c r="G108" s="23" t="n">
        <x:v>1.688898426204</x:v>
      </x:c>
      <x:c r="H108" s="23" t="n">
        <x:v>1.688898426204</x:v>
      </x:c>
      <x:c r="I108" s="23" t="n">
        <x:v>-1.297351217826</x:v>
      </x:c>
      <x:c r="J108" s="23" t="str">
        <x:v>supersonic_M1p1_2p2</x:v>
      </x:c>
    </x:row>
    <x:row r="109">
      <x:c r="A109" s="23" t="n">
        <x:v>2</x:v>
      </x:c>
      <x:c r="B109" s="23" t="n">
        <x:v>5</x:v>
      </x:c>
      <x:c r="C109" s="23" t="n">
        <x:v>0.67942936599</x:v>
      </x:c>
      <x:c r="D109" s="23" t="n">
        <x:v>0.67942936599</x:v>
      </x:c>
      <x:c r="E109" s="23" t="str"/>
      <x:c r="F109" s="23" t="str"/>
      <x:c r="G109" s="23" t="n">
        <x:v>2.406367766345</x:v>
      </x:c>
      <x:c r="H109" s="23" t="n">
        <x:v>2.406367766345</x:v>
      </x:c>
      <x:c r="I109" s="23" t="n">
        <x:v>-1.784511271233</x:v>
      </x:c>
      <x:c r="J109" s="23" t="str">
        <x:v>supersonic_M1p1_2p2</x:v>
      </x:c>
    </x:row>
    <x:row r="110">
      <x:c r="A110" s="23" t="n">
        <x:v>2.1</x:v>
      </x:c>
      <x:c r="B110" s="23" t="n">
        <x:v>0</x:v>
      </x:c>
      <x:c r="C110" s="23" t="n">
        <x:v>0.04946115578</x:v>
      </x:c>
      <x:c r="D110" s="23" t="n">
        <x:v>0.04946115578</x:v>
      </x:c>
      <x:c r="E110" s="23" t="str"/>
      <x:c r="F110" s="23" t="str"/>
      <x:c r="G110" s="23" t="n">
        <x:v>0.055037734376</x:v>
      </x:c>
      <x:c r="H110" s="23" t="n">
        <x:v>0.055037734376</x:v>
      </x:c>
      <x:c r="I110" s="23" t="n">
        <x:v>-0.068715679067</x:v>
      </x:c>
      <x:c r="J110" s="23" t="str">
        <x:v>supersonic_M1p1_2p2</x:v>
      </x:c>
    </x:row>
    <x:row r="111">
      <x:c r="A111" s="23" t="n">
        <x:v>2.1</x:v>
      </x:c>
      <x:c r="B111" s="23" t="n">
        <x:v>1</x:v>
      </x:c>
      <x:c r="C111" s="23" t="n">
        <x:v>0.13384771611</x:v>
      </x:c>
      <x:c r="D111" s="23" t="n">
        <x:v>0.13384771611</x:v>
      </x:c>
      <x:c r="E111" s="23" t="str"/>
      <x:c r="F111" s="23" t="str"/>
      <x:c r="G111" s="23" t="n">
        <x:v>0.107194899966</x:v>
      </x:c>
      <x:c r="H111" s="23" t="n">
        <x:v>0.107194899966</x:v>
      </x:c>
      <x:c r="I111" s="23" t="n">
        <x:v>-0.207603155118</x:v>
      </x:c>
      <x:c r="J111" s="23" t="str">
        <x:v>supersonic_M1p1_2p2</x:v>
      </x:c>
    </x:row>
    <x:row r="112">
      <x:c r="A112" s="23" t="n">
        <x:v>2.1</x:v>
      </x:c>
      <x:c r="B112" s="23" t="n">
        <x:v>2</x:v>
      </x:c>
      <x:c r="C112" s="23" t="n">
        <x:v>0.23945486011</x:v>
      </x:c>
      <x:c r="D112" s="23" t="n">
        <x:v>0.23945486011</x:v>
      </x:c>
      <x:c r="E112" s="23" t="str"/>
      <x:c r="F112" s="23" t="str"/>
      <x:c r="G112" s="23" t="n">
        <x:v>0.192470983035</x:v>
      </x:c>
      <x:c r="H112" s="23" t="n">
        <x:v>0.192470983035</x:v>
      </x:c>
      <x:c r="I112" s="23" t="n">
        <x:v>-0.398530534855</x:v>
      </x:c>
      <x:c r="J112" s="23" t="str">
        <x:v>supersonic_M1p1_2p2</x:v>
      </x:c>
    </x:row>
    <x:row r="113">
      <x:c r="A113" s="23" t="n">
        <x:v>2.1</x:v>
      </x:c>
      <x:c r="B113" s="23" t="n">
        <x:v>3</x:v>
      </x:c>
      <x:c r="C113" s="23" t="n">
        <x:v>0.364773259575</x:v>
      </x:c>
      <x:c r="D113" s="23" t="n">
        <x:v>0.364773259575</x:v>
      </x:c>
      <x:c r="E113" s="23" t="str"/>
      <x:c r="F113" s="23" t="str"/>
      <x:c r="G113" s="23" t="n">
        <x:v>0.312365797366</x:v>
      </x:c>
      <x:c r="H113" s="23" t="n">
        <x:v>0.312365797366</x:v>
      </x:c>
      <x:c r="I113" s="23" t="n">
        <x:v>-0.641935599013</x:v>
      </x:c>
      <x:c r="J113" s="23" t="str">
        <x:v>supersonic_M1p1_2p2</x:v>
      </x:c>
    </x:row>
    <x:row r="114">
      <x:c r="A114" s="23" t="n">
        <x:v>2.1</x:v>
      </x:c>
      <x:c r="B114" s="23" t="n">
        <x:v>4</x:v>
      </x:c>
      <x:c r="C114" s="23" t="n">
        <x:v>0.508060600943</x:v>
      </x:c>
      <x:c r="D114" s="23" t="n">
        <x:v>0.508060600943</x:v>
      </x:c>
      <x:c r="E114" s="23" t="str"/>
      <x:c r="F114" s="23" t="str"/>
      <x:c r="G114" s="23" t="n">
        <x:v>0.468128228076</x:v>
      </x:c>
      <x:c r="H114" s="23" t="n">
        <x:v>0.468128228076</x:v>
      </x:c>
      <x:c r="I114" s="23" t="n">
        <x:v>-0.93787097442</x:v>
      </x:c>
      <x:c r="J114" s="23" t="str">
        <x:v>supersonic_M1p1_2p2</x:v>
      </x:c>
    </x:row>
    <x:row r="115">
      <x:c r="A115" s="23" t="n">
        <x:v>2.1</x:v>
      </x:c>
      <x:c r="B115" s="23" t="n">
        <x:v>5</x:v>
      </x:c>
      <x:c r="C115" s="23" t="n">
        <x:v>0.66778509382</x:v>
      </x:c>
      <x:c r="D115" s="23" t="n">
        <x:v>0.66778509382</x:v>
      </x:c>
      <x:c r="E115" s="23" t="str"/>
      <x:c r="F115" s="23" t="str"/>
      <x:c r="G115" s="23" t="n">
        <x:v>0.661120900062</x:v>
      </x:c>
      <x:c r="H115" s="23" t="n">
        <x:v>0.661120900062</x:v>
      </x:c>
      <x:c r="I115" s="23" t="n">
        <x:v>-1.286971937775</x:v>
      </x:c>
      <x:c r="J115" s="23" t="str">
        <x:v>supersonic_M1p1_2p2</x:v>
      </x:c>
    </x:row>
    <x:row r="116">
      <x:c r="A116" s="23" t="n">
        <x:v>2.2</x:v>
      </x:c>
      <x:c r="B116" s="23" t="n">
        <x:v>0</x:v>
      </x:c>
      <x:c r="C116" s="23" t="n">
        <x:v>0.029601405808</x:v>
      </x:c>
      <x:c r="D116" s="23" t="n">
        <x:v>0.029601405808</x:v>
      </x:c>
      <x:c r="E116" s="23" t="str"/>
      <x:c r="F116" s="23" t="str"/>
      <x:c r="G116" s="23" t="n">
        <x:v>0.031846108839</x:v>
      </x:c>
      <x:c r="H116" s="23" t="n">
        <x:v>0.031846108839</x:v>
      </x:c>
      <x:c r="I116" s="23" t="n">
        <x:v>-0.02939408876</x:v>
      </x:c>
      <x:c r="J116" s="23" t="str">
        <x:v>supersonic_M1p1_2p2</x:v>
      </x:c>
    </x:row>
    <x:row r="117">
      <x:c r="A117" s="23" t="n">
        <x:v>2.2</x:v>
      </x:c>
      <x:c r="B117" s="23" t="n">
        <x:v>1</x:v>
      </x:c>
      <x:c r="C117" s="23" t="n">
        <x:v>0.071492649402</x:v>
      </x:c>
      <x:c r="D117" s="23" t="n">
        <x:v>0.071492649402</x:v>
      </x:c>
      <x:c r="E117" s="23" t="str"/>
      <x:c r="F117" s="23" t="str"/>
      <x:c r="G117" s="23" t="n">
        <x:v>0.033945299344</x:v>
      </x:c>
      <x:c r="H117" s="23" t="n">
        <x:v>0.033945299344</x:v>
      </x:c>
      <x:c r="I117" s="23" t="n">
        <x:v>-0.076379118687</x:v>
      </x:c>
      <x:c r="J117" s="23" t="str">
        <x:v>supersonic_M1p1_2p2</x:v>
      </x:c>
    </x:row>
    <x:row r="118">
      <x:c r="A118" s="23" t="n">
        <x:v>2.2</x:v>
      </x:c>
      <x:c r="B118" s="23" t="n">
        <x:v>2</x:v>
      </x:c>
      <x:c r="C118" s="23" t="n">
        <x:v>0.113394245329</x:v>
      </x:c>
      <x:c r="D118" s="23" t="n">
        <x:v>0.113394245329</x:v>
      </x:c>
      <x:c r="E118" s="23" t="str"/>
      <x:c r="F118" s="23" t="str"/>
      <x:c r="G118" s="23" t="n">
        <x:v>0.038350016159</x:v>
      </x:c>
      <x:c r="H118" s="23" t="n">
        <x:v>0.038350016159</x:v>
      </x:c>
      <x:c r="I118" s="23" t="n">
        <x:v>-0.124239304082</x:v>
      </x:c>
      <x:c r="J118" s="23" t="str">
        <x:v>supersonic_M1p1_2p2</x:v>
      </x:c>
    </x:row>
    <x:row r="119">
      <x:c r="A119" s="23" t="n">
        <x:v>2.2</x:v>
      </x:c>
      <x:c r="B119" s="23" t="n">
        <x:v>3</x:v>
      </x:c>
      <x:c r="C119" s="23" t="n">
        <x:v>0.154691762133</x:v>
      </x:c>
      <x:c r="D119" s="23" t="n">
        <x:v>0.154691762133</x:v>
      </x:c>
      <x:c r="E119" s="23" t="str"/>
      <x:c r="F119" s="23" t="str"/>
      <x:c r="G119" s="23" t="n">
        <x:v>0.044961640955</x:v>
      </x:c>
      <x:c r="H119" s="23" t="n">
        <x:v>0.044961640955</x:v>
      </x:c>
      <x:c r="I119" s="23" t="n">
        <x:v>-0.171899021573</x:v>
      </x:c>
      <x:c r="J119" s="23" t="str">
        <x:v>supersonic_M1p1_2p2</x:v>
      </x:c>
    </x:row>
    <x:row r="120">
      <x:c r="A120" s="23" t="n">
        <x:v>2.2</x:v>
      </x:c>
      <x:c r="B120" s="23" t="n">
        <x:v>4</x:v>
      </x:c>
      <x:c r="C120" s="23" t="n">
        <x:v>0.195151859529</x:v>
      </x:c>
      <x:c r="D120" s="23" t="n">
        <x:v>0.195151859529</x:v>
      </x:c>
      <x:c r="E120" s="23" t="str"/>
      <x:c r="F120" s="23" t="str"/>
      <x:c r="G120" s="23" t="n">
        <x:v>0.053750178347</x:v>
      </x:c>
      <x:c r="H120" s="23" t="n">
        <x:v>0.053750178347</x:v>
      </x:c>
      <x:c r="I120" s="23" t="n">
        <x:v>-0.219083055217</x:v>
      </x:c>
      <x:c r="J120" s="23" t="str">
        <x:v>supersonic_M1p1_2p2</x:v>
      </x:c>
    </x:row>
    <x:row r="121">
      <x:c r="A121" s="44" t="n">
        <x:v>2.2</x:v>
      </x:c>
      <x:c r="B121" s="44" t="n">
        <x:v>5</x:v>
      </x:c>
      <x:c r="C121" s="44" t="n">
        <x:v>0.234896381178</x:v>
      </x:c>
      <x:c r="D121" s="44" t="n">
        <x:v>0.234896381178</x:v>
      </x:c>
      <x:c r="E121" s="44" t="str"/>
      <x:c r="F121" s="44" t="str"/>
      <x:c r="G121" s="44" t="n">
        <x:v>0.064670487799</x:v>
      </x:c>
      <x:c r="H121" s="44" t="n">
        <x:v>0.064670487799</x:v>
      </x:c>
      <x:c r="I121" s="44" t="n">
        <x:v>-0.266351095356</x:v>
      </x:c>
      <x:c r="J121" s="44" t="str">
        <x:v>supersonic_M1p1_2p2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4" t="str">
        <x:v>Методика, ограничения и быстрый итог</x:v>
      </x:c>
      <x:c r="B1" s="4"/>
      <x:c r="C1" s="4"/>
      <x:c r="D1" s="4"/>
      <x:c r="E1" s="4"/>
      <x:c r="F1" s="4"/>
      <x:c r="G1" s="4"/>
      <x:c r="H1" s="4"/>
    </x:row>
    <x:row r="2">
      <x:c r="A2" s="47"/>
      <x:c r="B2" s="47"/>
      <x:c r="C2" s="47"/>
      <x:c r="D2" s="47"/>
      <x:c r="E2" s="47"/>
      <x:c r="F2" s="47"/>
      <x:c r="G2" s="47"/>
      <x:c r="H2" s="47"/>
    </x:row>
    <x:row r="3">
      <x:c r="A3" s="12" t="str">
        <x:v>Раздел</x:v>
      </x:c>
      <x:c r="B3" s="12" t="str">
        <x:v>Содержание</x:v>
      </x:c>
      <x:c r="C3" s="47"/>
      <x:c r="D3" s="47"/>
      <x:c r="E3" s="47"/>
      <x:c r="F3" s="47"/>
      <x:c r="G3" s="47"/>
      <x:c r="H3" s="47"/>
    </x:row>
    <x:row r="4" ht="34" customHeight="1">
      <x:c r="A4" s="38" t="str">
        <x:v>Состав книги</x:v>
      </x:c>
      <x:c r="B4" s="36" t="str">
        <x:v>6 редактируемых диаграмм Excel: ΔCy(Δα), ошибка ΔCy, ΔCx(Δα), ΔCMy(Δα), Cx0(M), Cyα(M).</x:v>
      </x:c>
      <x:c r="C4" s="47"/>
      <x:c r="D4" s="47"/>
      <x:c r="E4" s="47"/>
      <x:c r="F4" s="47"/>
      <x:c r="G4" s="47"/>
      <x:c r="H4" s="47"/>
    </x:row>
    <x:row r="5" ht="34" customHeight="1">
      <x:c r="A5" s="38" t="str">
        <x:v>Ночной расчёт</x:v>
      </x:c>
      <x:c r="B5" s="36" t="str">
        <x:v>Сбалансированные точки M=0,8; 1,2; 1,7 и полный маховый прогон 0,0…2,2.</x:v>
      </x:c>
      <x:c r="C5" s="47"/>
      <x:c r="D5" s="47"/>
      <x:c r="E5" s="47"/>
      <x:c r="F5" s="47"/>
      <x:c r="G5" s="47"/>
      <x:c r="H5" s="47"/>
    </x:row>
    <x:row r="6" ht="34" customHeight="1">
      <x:c r="A6" s="38" t="str">
        <x:v>Критерий</x:v>
      </x:c>
      <x:c r="B6" s="36" t="str">
        <x:v>Для приращения подъёмной силы целевой допуск: |ошибка| ≤ 5%.</x:v>
      </x:c>
      <x:c r="C6" s="47"/>
      <x:c r="D6" s="47"/>
      <x:c r="E6" s="47"/>
      <x:c r="F6" s="47"/>
      <x:c r="G6" s="47"/>
      <x:c r="H6" s="47"/>
    </x:row>
    <x:row r="7" ht="34" customHeight="1">
      <x:c r="A7" s="38" t="str">
        <x:v>Результат</x:v>
      </x:c>
      <x:c r="B7" s="36" t="str">
        <x:v>M=0,8 и M=1,7 укладываются примерно в 5%; M=1,2 остаётся ниже книжной кривой примерно на 10–14%.</x:v>
      </x:c>
      <x:c r="C7" s="47"/>
      <x:c r="D7" s="47"/>
      <x:c r="E7" s="47"/>
      <x:c r="F7" s="47"/>
      <x:c r="G7" s="47"/>
      <x:c r="H7" s="47"/>
    </x:row>
    <x:row r="8" ht="34" customHeight="1">
      <x:c r="A8" s="38" t="str">
        <x:v>Фильтрация</x:v>
      </x:c>
      <x:c r="B8" s="36" t="str">
        <x:v>M=1,4 признан недостоверным; явные выбросы Cx0 &gt; 0,12 не показаны на обзорной диаграмме, но сохранены в исходных таблицах.</x:v>
      </x:c>
      <x:c r="C8" s="47"/>
      <x:c r="D8" s="47"/>
      <x:c r="E8" s="47"/>
      <x:c r="F8" s="47"/>
      <x:c r="G8" s="47"/>
      <x:c r="H8" s="47"/>
    </x:row>
    <x:row r="9" ht="34" customHeight="1">
      <x:c r="A9" s="38" t="str">
        <x:v>Книжные кривые</x:v>
      </x:c>
      <x:c r="B9" s="36" t="str">
        <x:v>Cx0(M) и Cyα(M) оцифрованы приближённо по изображениям. При наличии скана высокого разрешения точки следует уточнить.</x:v>
      </x:c>
      <x:c r="C9" s="47"/>
      <x:c r="D9" s="47"/>
      <x:c r="E9" s="47"/>
      <x:c r="F9" s="47"/>
      <x:c r="G9" s="47"/>
      <x:c r="H9" s="47"/>
    </x:row>
    <x:row r="10" ht="34" customHeight="1">
      <x:c r="A10" s="38" t="str">
        <x:v>Cx0</x:v>
      </x:c>
      <x:c r="B10" s="36" t="str">
        <x:v>На маховой диаграмме показаны полуэмпирический итог, сырое VSPAERO и две книжные кривые для положения носков крыла.</x:v>
      </x:c>
      <x:c r="C10" s="47"/>
      <x:c r="D10" s="47"/>
      <x:c r="E10" s="47"/>
      <x:c r="F10" s="47"/>
      <x:c r="G10" s="47"/>
      <x:c r="H10" s="47"/>
    </x:row>
    <x:row r="11" ht="34" customHeight="1">
      <x:c r="A11" s="38" t="str">
        <x:v>Cyα</x:v>
      </x:c>
      <x:c r="B11" s="36" t="str">
        <x:v>Расчётная производная получена линейной аппроксимацией Cy(α) полного ночного прогона; книжные кривые показаны для вариантов без ракет и с ракетами.</x:v>
      </x:c>
      <x:c r="C11" s="47"/>
      <x:c r="D11" s="47"/>
      <x:c r="E11" s="47"/>
      <x:c r="F11" s="47"/>
      <x:c r="G11" s="47"/>
      <x:c r="H11" s="47"/>
    </x:row>
    <x:row r="12" ht="34" customHeight="1">
      <x:c r="A12" s="38" t="str">
        <x:v>Следующий шаг</x:v>
      </x:c>
      <x:c r="B12" s="36" t="str">
        <x:v>После утреннего расчёта добавить его как отдельную серию и пересчитать погрешность на каждой общей точке M и α.</x:v>
      </x:c>
      <x:c r="C12" s="47"/>
      <x:c r="D12" s="47"/>
      <x:c r="E12" s="47"/>
      <x:c r="F12" s="47"/>
      <x:c r="G12" s="47"/>
      <x:c r="H12" s="47"/>
    </x:row>
    <x:row r="13" ht="34" customHeight="1">
      <x:c r="A13" s="38" t="str">
        <x:v>Источник 1</x:v>
      </x:c>
      <x:c r="B13" s="36" t="str">
        <x:v>C:\Users\admin\.codex\.chatgpt-projects\g-p-6910508be2a081919b9cb5881a96c92b\overnight_sweep\final_balanced_polars.csv</x:v>
      </x:c>
      <x:c r="C13" s="47"/>
      <x:c r="D13" s="47"/>
      <x:c r="E13" s="47"/>
      <x:c r="F13" s="47"/>
      <x:c r="G13" s="47"/>
      <x:c r="H13" s="47"/>
    </x:row>
    <x:row r="14" ht="34" customHeight="1">
      <x:c r="A14" s="38" t="str">
        <x:v>Источник 2</x:v>
      </x:c>
      <x:c r="B14" s="36" t="str">
        <x:v>C:\Users\admin\.codex\.chatgpt-projects\g-p-6910508be2a081919b9cb5881a96c92b\overnight_sweep\semiempirical_drag\full_grid\full_grid_polars.csv</x:v>
      </x:c>
      <x:c r="C14" s="47"/>
      <x:c r="D14" s="47"/>
      <x:c r="E14" s="47"/>
      <x:c r="F14" s="47"/>
      <x:c r="G14" s="47"/>
      <x:c r="H14" s="47"/>
    </x:row>
    <x:row r="15" ht="34" customHeight="1">
      <x:c r="A15" s="38" t="str">
        <x:v>Источник 3</x:v>
      </x:c>
      <x:c r="B15" s="36" t="str">
        <x:v>C:\Users\admin\.codex\.chatgpt-projects\g-p-6910508be2a081919b9cb5881a96c92b\overnight_sweep\semiempirical_drag\full_grid\semiempirical_results\coefficients.csv</x:v>
      </x:c>
      <x:c r="C15" s="47"/>
      <x:c r="D15" s="47"/>
      <x:c r="E15" s="47"/>
      <x:c r="F15" s="47"/>
      <x:c r="G15" s="47"/>
      <x:c r="H15" s="47"/>
    </x:row>
    <x:row r="16" ht="34" customHeight="1">
      <x:c r="A16" s="49" t="str">
        <x:v>Источник 4</x:v>
      </x:c>
      <x:c r="B16" s="50" t="str">
        <x:v>C:\Users\admin\.codex\.chatgpt-projects\g-p-6910508be2a081919b9cb5881a96c92b\overnight_sweep\semiempirical_drag\full_grid\semiempirical_results\comparison_summary.csv</x:v>
      </x:c>
      <x:c r="C16" s="51"/>
      <x:c r="D16" s="51"/>
      <x:c r="E16" s="51"/>
      <x:c r="F16" s="51"/>
      <x:c r="G16" s="51"/>
      <x:c r="H16" s="51"/>
    </x:row>
  </x:sheetData>
  <x:mergeCells>
    <x:mergeCell ref="A1:H1"/>
  </x:mergeCells>
  <x:pageMargins left="0.7" right="0.7" top="0.75" bottom="0.75" header="0.3" footer="0.3"/>
</x:worksheet>
</file>