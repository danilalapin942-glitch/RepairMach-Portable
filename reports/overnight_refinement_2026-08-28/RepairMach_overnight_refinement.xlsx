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drawings/charts/chart9.xml" ContentType="application/vnd.openxmlformats-officedocument.drawingml.chart+xml"/>
  <Override PartName="/xl/drawings/charts/chart10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a5bd18191242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 АДХ" sheetId="1" r:id="Rc45939033ff347bb"/>
    <x:sheet xmlns:r="http://schemas.openxmlformats.org/officeDocument/2006/relationships" name="Лучший расчёт" sheetId="2" r:id="R26b1f53a3f48482d"/>
    <x:sheet xmlns:r="http://schemas.openxmlformats.org/officeDocument/2006/relationships" name="Подъёмная сила" sheetId="3" r:id="R7097cd51a10e4145"/>
    <x:sheet xmlns:r="http://schemas.openxmlformats.org/officeDocument/2006/relationships" name="Cy полный диапазон" sheetId="4" r:id="R626f6f18291240e2"/>
    <x:sheet xmlns:r="http://schemas.openxmlformats.org/officeDocument/2006/relationships" name="Дозвук Cx0" sheetId="5" r:id="R5c68e2513d524c9a"/>
    <x:sheet xmlns:r="http://schemas.openxmlformats.org/officeDocument/2006/relationships" name="Конфигурации" sheetId="6" r:id="R8384cb4a23e240f6"/>
    <x:sheet xmlns:r="http://schemas.openxmlformats.org/officeDocument/2006/relationships" name="Сеточная сходимость" sheetId="7" r:id="R5338f2c975014c00"/>
    <x:sheet xmlns:r="http://schemas.openxmlformats.org/officeDocument/2006/relationships" name="Сырые данные" sheetId="8" r:id="R4035655c6bb647f6"/>
    <x:sheet xmlns:r="http://schemas.openxmlformats.org/officeDocument/2006/relationships" name="Методика" sheetId="9" r:id="R45c25a86b81b4b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"/>
    <x:numFmt numFmtId="201" formatCode="0.00000"/>
    <x:numFmt numFmtId="202" formatCode="0.00"/>
    <x:numFmt numFmtId="203" formatCode="0.000"/>
    <x:numFmt numFmtId="204" formatCode="0.0"/>
    <x:numFmt numFmtId="205" formatCode="0.0000"/>
    <x:numFmt numFmtId="206" formatCode="0.00E+00"/>
    <x:numFmt numFmtId="207" formatCode="0.000000"/>
  </x:numFmts>
  <x:fonts count="11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65D"/>
      <x:name val="Carlito"/>
    </x:font>
    <x:font>
      <x:b/>
      <x:sz val="12"/>
      <x:color rgb="FFFFFFFF"/>
      <x:name val="Carlito"/>
    </x:font>
    <x:font>
      <x:b/>
      <x:sz val="9"/>
      <x:color rgb="FF17365D"/>
      <x:name val="Carlito"/>
    </x:font>
    <x:font>
      <x:b/>
      <x:sz val="12"/>
      <x:color rgb="FF1F1F1F"/>
      <x:name val="Carlito"/>
    </x:font>
    <x:font>
      <x:b/>
      <x:sz val="10"/>
      <x:color rgb="FF17365D"/>
      <x:name val="Carlito"/>
    </x:font>
    <x:font>
      <x:b/>
      <x:sz val="10"/>
      <x:color rgb="FFFFFFFF"/>
      <x:name val="Carlito"/>
    </x:font>
    <x:font>
      <x:sz val="9"/>
      <x:name val="Carlito"/>
    </x:font>
    <x:font>
      <x:sz val="10"/>
      <x:color rgb="FF1F1F1F"/>
      <x:name val="Carlito"/>
    </x:font>
    <x:font>
      <x:sz val="10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2F5597"/>
      </x:patternFill>
    </x:fill>
    <x:fill>
      <x:patternFill patternType="solid">
        <x:fgColor rgb="FFED7D31"/>
      </x:patternFill>
    </x:fill>
    <x:fill>
      <x:patternFill patternType="solid">
        <x:fgColor rgb="FFF3F6F9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3">
    <x:border/>
    <x:border>
      <x:bottom style="thin">
        <x:color rgb="FFFFFFFF"/>
      </x:bottom>
    </x:border>
    <x:border>
      <x:bottom style="hair">
        <x:color rgb="FFD9D9D9"/>
      </x:bottom>
    </x:border>
  </x:borders>
  <x:cellStyleXfs count="1">
    <x:xf numFmtId="0" fontId="0" fillId="0" borderId="0"/>
  </x:cellStyleXfs>
  <x:cellXfs count="8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/>
    </x:xf>
    <x:xf numFmtId="0" fontId="5" fillId="8" borderId="0" xfId="0" applyNumberFormat="1" applyFont="1" applyFill="1" applyBorder="1" applyAlignment="1">
      <x:alignment horizontal="center" vertical="center"/>
    </x:xf>
    <x:xf numFmtId="200" fontId="0" fillId="8" borderId="0" xfId="0" applyNumberFormat="1" applyFont="1" applyFill="1" applyBorder="1"/>
    <x:xf numFmtId="200" fontId="5" fillId="8" borderId="0" xfId="0" applyNumberFormat="1" applyFont="1" applyFill="1" applyBorder="1"/>
    <x:xf numFmtId="200" fontId="5" fillId="8" borderId="0" xfId="0" applyNumberFormat="1" applyFont="1" applyFill="1" applyBorder="1" applyAlignment="1">
      <x:alignment horizontal="center"/>
    </x:xf>
    <x:xf numFmtId="200" fontId="5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horizont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202" fontId="0" fillId="0" borderId="0" xfId="0" applyNumberFormat="1" applyFont="1" applyFill="1" applyBorder="1"/>
    <x:xf numFmtId="200" fontId="0" fillId="10" borderId="0" xfId="0" applyNumberFormat="1" applyFont="1" applyFill="1" applyBorder="1"/>
    <x:xf numFmtId="200" fontId="0" fillId="11" borderId="0" xfId="0" applyNumberFormat="1" applyFont="1" applyFill="1" applyBorder="1"/>
    <x:xf numFmtId="200" fontId="0" fillId="9" borderId="0" xfId="0" applyNumberFormat="1" applyFont="1" applyFill="1" applyBorder="1"/>
    <x:xf numFmtId="203" fontId="0" fillId="0" borderId="0" xfId="0" applyNumberFormat="1" applyFont="1" applyFill="1" applyBorder="1"/>
    <x:xf numFmtId="0" fontId="9" fillId="11" borderId="0" xfId="0" applyNumberFormat="1" applyFont="1" applyFill="1" applyBorder="1"/>
    <x:xf numFmtId="0" fontId="9" fillId="11" borderId="0" xfId="0" applyNumberFormat="1" applyFont="1" applyFill="1" applyBorder="1" applyAlignment="1">
      <x:alignment wrapText="1"/>
    </x:xf>
    <x:xf numFmtId="0" fontId="9" fillId="11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6" fontId="0" fillId="0" borderId="0" xfId="0" applyNumberFormat="1" applyFont="1" applyFill="1" applyBorder="1"/>
    <x:xf numFmtId="204" fontId="0" fillId="11" borderId="0" xfId="0" applyNumberFormat="1" applyFont="1" applyFill="1" applyBorder="1"/>
    <x:xf numFmtId="201" fontId="0" fillId="11" borderId="0" xfId="0" applyNumberFormat="1" applyFont="1" applyFill="1" applyBorder="1"/>
    <x:xf numFmtId="207" fontId="0" fillId="0" borderId="0" xfId="0" applyNumberFormat="1" applyFont="1" applyFill="1" applyBorder="1"/>
    <x:xf numFmtId="207" fontId="0" fillId="11" borderId="0" xfId="0" applyNumberFormat="1" applyFont="1" applyFill="1" applyBorder="1"/>
    <x:xf numFmtId="201" fontId="0" fillId="10" borderId="0" xfId="0" applyNumberFormat="1" applyFont="1" applyFill="1" applyBorder="1"/>
    <x:xf numFmtId="201" fontId="0" fillId="9" borderId="0" xfId="0" applyNumberFormat="1" applyFont="1" applyFill="1" applyBorder="1"/>
    <x:xf numFmtId="0" fontId="6" fillId="3" borderId="0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9" fillId="11" borderId="2" xfId="0" applyNumberFormat="1" applyFont="1" applyFill="1" applyBorder="1" applyAlignment="1">
      <x:alignment vertical="center" wrapText="1"/>
    </x:xf>
    <x:xf numFmtId="204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6" fillId="9" borderId="2" xfId="0" applyNumberFormat="1" applyFont="1" applyFill="1" applyBorder="1" applyAlignment="1">
      <x:alignment vertical="center" wrapText="1"/>
    </x:xf>
    <x:xf numFmtId="200" fontId="0" fillId="0" borderId="2" xfId="0" applyNumberFormat="1" applyFont="1" applyFill="1" applyBorder="1"/>
    <x:xf numFmtId="202" fontId="0" fillId="0" borderId="2" xfId="0" applyNumberFormat="1" applyFont="1" applyFill="1" applyBorder="1"/>
    <x:xf numFmtId="203" fontId="0" fillId="0" borderId="2" xfId="0" applyNumberFormat="1" applyFont="1" applyFill="1" applyBorder="1"/>
    <x:xf numFmtId="206" fontId="0" fillId="0" borderId="2" xfId="0" applyNumberFormat="1" applyFont="1" applyFill="1" applyBorder="1"/>
    <x:xf numFmtId="0" fontId="6" fillId="3" borderId="2" xfId="0" applyNumberFormat="1" applyFont="1" applyFill="1" applyBorder="1" applyAlignment="1">
      <x:alignment vertical="top" wrapText="1"/>
    </x:xf>
    <x:xf numFmtId="0" fontId="1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5da6affb4346c8" /><Relationship Type="http://schemas.openxmlformats.org/officeDocument/2006/relationships/theme" Target="/xl/theme/theme1.xml" Id="Rb700afee62ab4736" /><Relationship Type="http://schemas.openxmlformats.org/officeDocument/2006/relationships/sharedStrings" Target="/xl/sharedStrings.xml" Id="R4fae11eef512477e" /><Relationship Type="http://schemas.openxmlformats.org/officeDocument/2006/relationships/worksheet" Target="/xl/worksheets/sheet1.xml" Id="Rc45939033ff347bb" /><Relationship Type="http://schemas.openxmlformats.org/officeDocument/2006/relationships/worksheet" Target="/xl/worksheets/sheet2.xml" Id="R26b1f53a3f48482d" /><Relationship Type="http://schemas.openxmlformats.org/officeDocument/2006/relationships/worksheet" Target="/xl/worksheets/sheet3.xml" Id="R7097cd51a10e4145" /><Relationship Type="http://schemas.openxmlformats.org/officeDocument/2006/relationships/worksheet" Target="/xl/worksheets/sheet4.xml" Id="R626f6f18291240e2" /><Relationship Type="http://schemas.openxmlformats.org/officeDocument/2006/relationships/worksheet" Target="/xl/worksheets/sheet5.xml" Id="R5c68e2513d524c9a" /><Relationship Type="http://schemas.openxmlformats.org/officeDocument/2006/relationships/worksheet" Target="/xl/worksheets/sheet6.xml" Id="R8384cb4a23e240f6" /><Relationship Type="http://schemas.openxmlformats.org/officeDocument/2006/relationships/worksheet" Target="/xl/worksheets/sheet7.xml" Id="R5338f2c975014c00" /><Relationship Type="http://schemas.openxmlformats.org/officeDocument/2006/relationships/worksheet" Target="/xl/worksheets/sheet8.xml" Id="R4035655c6bb647f6" /><Relationship Type="http://schemas.openxmlformats.org/officeDocument/2006/relationships/worksheet" Target="/xl/worksheets/sheet9.xml" Id="R45c25a86b81b4b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28a091d22a4145" /><Relationship Type="http://schemas.openxmlformats.org/officeDocument/2006/relationships/chart" Target="/xl/drawings/charts/chart2.xml" Id="R8689790524d5469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62a550e10d784235" /><Relationship Type="http://schemas.openxmlformats.org/officeDocument/2006/relationships/chart" Target="/xl/drawings/charts/chart4.xml" Id="R550fddf84ab448c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c3684d657f2d4070" /><Relationship Type="http://schemas.openxmlformats.org/officeDocument/2006/relationships/chart" Target="/xl/drawings/charts/chart6.xml" Id="Rf95897f9c4ab44a4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7.xml" Id="Rd1261f793e974d82" /><Relationship Type="http://schemas.openxmlformats.org/officeDocument/2006/relationships/chart" Target="/xl/drawings/charts/chart8.xml" Id="Rda2503303b1b4fda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9.xml" Id="R897664b6b02946e9" /><Relationship Type="http://schemas.openxmlformats.org/officeDocument/2006/relationships/chart" Target="/xl/drawings/charts/chart10.xml" Id="Rfe48aa5050f7453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Cy(α): лучший расчёт и книжные линии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Расчёт M=0,8</c:v>
          </c:tx>
          <c:spPr>
            <a:ln xmlns:a="http://schemas.openxmlformats.org/drawingml/2006/main" w="21431">
              <a:solidFill>
                <a:srgbClr val="2F5597"/>
              </a:solidFill>
              <a:prstDash val="solid"/>
            </a:ln>
          </c:spPr>
          <c:marker>
            <c:symbol val="none"/>
          </c:marker>
          <c:cat>
            <c:strRef>
              <c:f>'Сводка АДХ'!$R$2:$R$8</c:f>
              <c:strCache>
                <c:ptCount val="0"/>
              </c:strCache>
            </c:strRef>
          </c:cat>
          <c:val>
            <c:numRef>
              <c:f>'Сводка АДХ'!$S$2:$S$8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Книга M=0,8</c:v>
          </c:tx>
          <c:spPr>
            <a:ln xmlns:a="http://schemas.openxmlformats.org/drawingml/2006/main" w="14288">
              <a:solidFill>
                <a:srgbClr val="2F5597"/>
              </a:solidFill>
              <a:prstDash val="dash"/>
            </a:ln>
          </c:spPr>
          <c:marker>
            <c:symbol val="none"/>
          </c:marker>
          <c:cat>
            <c:strRef>
              <c:f>'Сводка АДХ'!$R$2:$R$8</c:f>
              <c:strCache>
                <c:ptCount val="0"/>
              </c:strCache>
            </c:strRef>
          </c:cat>
          <c:val>
            <c:numRef>
              <c:f>'Сводка АДХ'!$T$2:$T$8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Расчёт M=1,2</c:v>
          </c:tx>
          <c:spPr>
            <a:ln xmlns:a="http://schemas.openxmlformats.org/drawingml/2006/main" w="21431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'Сводка АДХ'!$R$2:$R$8</c:f>
              <c:strCache>
                <c:ptCount val="0"/>
              </c:strCache>
            </c:strRef>
          </c:cat>
          <c:val>
            <c:numRef>
              <c:f>'Сводка АДХ'!$U$2:$U$8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Книга M=1,2</c:v>
          </c:tx>
          <c:spPr>
            <a:ln xmlns:a="http://schemas.openxmlformats.org/drawingml/2006/main" w="14288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strRef>
              <c:f>'Сводка АДХ'!$R$2:$R$8</c:f>
              <c:strCache>
                <c:ptCount val="0"/>
              </c:strCache>
            </c:strRef>
          </c:cat>
          <c:val>
            <c:numRef>
              <c:f>'Сводка АДХ'!$V$2:$V$8</c:f>
              <c:numCache>
                <c:formatCode>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Расчёт M=1,7</c:v>
          </c:tx>
          <c:spPr>
            <a:ln xmlns:a="http://schemas.openxmlformats.org/drawingml/2006/main" w="21431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'Сводка АДХ'!$R$2:$R$8</c:f>
              <c:strCache>
                <c:ptCount val="0"/>
              </c:strCache>
            </c:strRef>
          </c:cat>
          <c:val>
            <c:numRef>
              <c:f>'Сводка АДХ'!$W$2:$W$8</c:f>
              <c:numCache>
                <c:formatCode>0.00</c:formatCode>
                <c:ptCount val="0"/>
              </c:numCache>
            </c:numRef>
          </c:val>
          <c:smooth val="0"/>
        </c:ser>
        <c:ser>
          <c:idx val="5"/>
          <c:order val="5"/>
          <c:tx>
            <c:v>Книга M=1,7</c:v>
          </c:tx>
          <c:spPr>
            <a:ln xmlns:a="http://schemas.openxmlformats.org/drawingml/2006/main" w="14288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strRef>
              <c:f>'Сводка АДХ'!$R$2:$R$8</c:f>
              <c:strCache>
                <c:ptCount val="0"/>
              </c:strCache>
            </c:strRef>
          </c:cat>
          <c:val>
            <c:numRef>
              <c:f>'Сводка АДХ'!$X$2:$X$8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α, °</a:t>
                </a:r>
              </a:p>
            </c:rich>
          </c:tx>
          <c:overlay val="0"/>
        </c:title>
        <c:numFmt formatCode="0.0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Cy</a:t>
                </a:r>
              </a:p>
            </c:rich>
          </c:tx>
          <c:overlay val="0"/>
        </c:title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Cx0(M): лучшие расчёты по областям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Cx0 дозвук</c:v>
          </c:tx>
          <c:spPr>
            <a:ln xmlns:a="http://schemas.openxmlformats.org/drawingml/2006/main" w="21431">
              <a:solidFill>
                <a:srgbClr val="2F5597"/>
              </a:solidFill>
              <a:prstDash val="solid"/>
            </a:ln>
          </c:spPr>
          <c:marker>
            <c:symbol val="none"/>
          </c:marker>
          <c:cat>
            <c:strRef>
              <c:f>'Сводка АДХ'!$R$13:$R$32</c:f>
              <c:strCache>
                <c:ptCount val="0"/>
              </c:strCache>
            </c:strRef>
          </c:cat>
          <c:val>
            <c:numRef>
              <c:f>'Сводка АДХ'!$S$13:$S$32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Cx0 сверхзвук</c:v>
          </c:tx>
          <c:spPr>
            <a:ln xmlns:a="http://schemas.openxmlformats.org/drawingml/2006/main" w="21431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'Сводка АДХ'!$R$13:$R$32</c:f>
              <c:strCache>
                <c:ptCount val="0"/>
              </c:strCache>
            </c:strRef>
          </c:cat>
          <c:val>
            <c:numRef>
              <c:f>'Сводка АДХ'!$T$13:$T$32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Книга дозвук</c:v>
          </c:tx>
          <c:spPr>
            <a:ln xmlns:a="http://schemas.openxmlformats.org/drawingml/2006/main" w="14288">
              <a:solidFill>
                <a:srgbClr val="7F7F7F"/>
              </a:solidFill>
              <a:prstDash val="dash"/>
            </a:ln>
          </c:spPr>
          <c:marker>
            <c:symbol val="none"/>
          </c:marker>
          <c:cat>
            <c:strRef>
              <c:f>'Сводка АДХ'!$R$13:$R$32</c:f>
              <c:strCache>
                <c:ptCount val="0"/>
              </c:strCache>
            </c:strRef>
          </c:cat>
          <c:val>
            <c:numRef>
              <c:f>'Сводка АДХ'!$U$13:$U$32</c:f>
              <c:numCache>
                <c:formatCode>0.000</c:formatCode>
                <c:ptCount val="0"/>
              </c:numCache>
            </c:numRef>
          </c:val>
          <c:smooth val="0"/>
        </c:ser>
        <c:ser>
          <c:idx val="3"/>
          <c:order val="3"/>
          <c:tx>
            <c:v>Книга сверхзвук</c:v>
          </c:tx>
          <c:spPr>
            <a:ln xmlns:a="http://schemas.openxmlformats.org/drawingml/2006/main" w="14288">
              <a:solidFill>
                <a:srgbClr val="1F1F1F"/>
              </a:solidFill>
              <a:prstDash val="dash"/>
            </a:ln>
          </c:spPr>
          <c:marker>
            <c:symbol val="none"/>
          </c:marker>
          <c:cat>
            <c:strRef>
              <c:f>'Сводка АДХ'!$R$13:$R$32</c:f>
              <c:strCache>
                <c:ptCount val="0"/>
              </c:strCache>
            </c:strRef>
          </c:cat>
          <c:val>
            <c:numRef>
              <c:f>'Сводка АДХ'!$V$13:$V$32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</a:t>
                </a:r>
              </a:p>
            </c:rich>
          </c:tx>
          <c:overlay val="0"/>
        </c:title>
        <c:numFmt formatCode="0.0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Cx0</a:t>
                </a:r>
              </a:p>
            </c:rich>
          </c:tx>
          <c:overlay val="0"/>
        </c:title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Cx0 в зависимости от числа M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Книга Cx0</c:v>
          </c:tx>
          <c:spPr>
            <a:ln xmlns:a="http://schemas.openxmlformats.org/drawingml/2006/main" w="14288">
              <a:solidFill>
                <a:srgbClr val="1F1F1F"/>
              </a:solidFill>
              <a:prstDash val="dash"/>
            </a:ln>
          </c:spPr>
          <c:marker>
            <c:symbol val="none"/>
          </c:marker>
          <c:cat>
            <c:strRef>
              <c:f>'Лучший расчёт'!$J$10:$J$20</c:f>
              <c:strCache>
                <c:ptCount val="0"/>
              </c:strCache>
            </c:strRef>
          </c:cat>
          <c:val>
            <c:numRef>
              <c:f>'Лучший расчёт'!$K$10:$K$20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Расчёт Cx0</c:v>
          </c:tx>
          <c:spPr>
            <a:ln xmlns:a="http://schemas.openxmlformats.org/drawingml/2006/main" w="21431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'Лучший расчёт'!$J$10:$J$20</c:f>
              <c:strCache>
                <c:ptCount val="0"/>
              </c:strCache>
            </c:strRef>
          </c:cat>
          <c:val>
            <c:numRef>
              <c:f>'Лучший расчёт'!$L$10:$L$20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</a:t>
                </a:r>
              </a:p>
            </c:rich>
          </c:tx>
          <c:overlay val="0"/>
        </c:title>
        <c:numFmt formatCode="0.0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Cx0</a:t>
                </a:r>
              </a:p>
            </c:rich>
          </c:tx>
          <c:overlay val="0"/>
        </c:title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Погрешность лучшего расчёта по точкам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|Ошибка|, %</c:v>
          </c:tx>
          <c:spPr>
            <a:ln xmlns:a="http://schemas.openxmlformats.org/drawingml/2006/main" w="21431">
              <a:solidFill>
                <a:srgbClr val="2F5597"/>
              </a:solidFill>
              <a:prstDash val="solid"/>
            </a:ln>
          </c:spPr>
          <c:marker>
            <c:symbol val="none"/>
          </c:marker>
          <c:cat>
            <c:strRef>
              <c:f>'Лучший расчёт'!$N$10:$N$20</c:f>
              <c:strCache>
                <c:ptCount val="0"/>
              </c:strCache>
            </c:strRef>
          </c:cat>
          <c:val>
            <c:numRef>
              <c:f>'Лучший расчёт'!$O$10:$O$20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</a:t>
                </a:r>
              </a:p>
            </c:rich>
          </c:tx>
          <c:overlay val="0"/>
        </c:title>
        <c:numFmt formatCode="0.0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|Ошибка|, %</a:t>
                </a:r>
              </a:p>
            </c:rich>
          </c:tx>
          <c:overlay val="0"/>
        </c:title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Cy в зависимости от угла атаки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Расчёт M=0,8</c:v>
          </c:tx>
          <c:spPr>
            <a:ln xmlns:a="http://schemas.openxmlformats.org/drawingml/2006/main" w="21431">
              <a:solidFill>
                <a:srgbClr val="2F5597"/>
              </a:solidFill>
              <a:prstDash val="solid"/>
            </a:ln>
          </c:spPr>
          <c:marker>
            <c:symbol val="none"/>
          </c:marker>
          <c:cat>
            <c:strRef>
              <c:f>'Подъёмная сила'!$L$12:$L$18</c:f>
              <c:strCache>
                <c:ptCount val="0"/>
              </c:strCache>
            </c:strRef>
          </c:cat>
          <c:val>
            <c:numRef>
              <c:f>'Подъёмная сила'!$M$12:$M$18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Книга M=0,8</c:v>
          </c:tx>
          <c:spPr>
            <a:ln xmlns:a="http://schemas.openxmlformats.org/drawingml/2006/main" w="14288">
              <a:solidFill>
                <a:srgbClr val="2F5597"/>
              </a:solidFill>
              <a:prstDash val="dash"/>
            </a:ln>
          </c:spPr>
          <c:marker>
            <c:symbol val="none"/>
          </c:marker>
          <c:cat>
            <c:strRef>
              <c:f>'Подъёмная сила'!$L$12:$L$18</c:f>
              <c:strCache>
                <c:ptCount val="0"/>
              </c:strCache>
            </c:strRef>
          </c:cat>
          <c:val>
            <c:numRef>
              <c:f>'Подъёмная сила'!$N$12:$N$18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Расчёт M=1,2</c:v>
          </c:tx>
          <c:spPr>
            <a:ln xmlns:a="http://schemas.openxmlformats.org/drawingml/2006/main" w="21431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'Подъёмная сила'!$L$12:$L$18</c:f>
              <c:strCache>
                <c:ptCount val="0"/>
              </c:strCache>
            </c:strRef>
          </c:cat>
          <c:val>
            <c:numRef>
              <c:f>'Подъёмная сила'!$O$12:$O$18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Книга M=1,2</c:v>
          </c:tx>
          <c:spPr>
            <a:ln xmlns:a="http://schemas.openxmlformats.org/drawingml/2006/main" w="14288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strRef>
              <c:f>'Подъёмная сила'!$L$12:$L$18</c:f>
              <c:strCache>
                <c:ptCount val="0"/>
              </c:strCache>
            </c:strRef>
          </c:cat>
          <c:val>
            <c:numRef>
              <c:f>'Подъёмная сила'!$P$12:$P$18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Расчёт M=1,7</c:v>
          </c:tx>
          <c:spPr>
            <a:ln xmlns:a="http://schemas.openxmlformats.org/drawingml/2006/main" w="21431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'Подъёмная сила'!$L$12:$L$18</c:f>
              <c:strCache>
                <c:ptCount val="0"/>
              </c:strCache>
            </c:strRef>
          </c:cat>
          <c:val>
            <c:numRef>
              <c:f>'Подъёмная сила'!$Q$12:$Q$18</c:f>
              <c:numCache>
                <c:formatCode>0.00</c:formatCode>
                <c:ptCount val="0"/>
              </c:numCache>
            </c:numRef>
          </c:val>
          <c:smooth val="0"/>
        </c:ser>
        <c:ser>
          <c:idx val="5"/>
          <c:order val="5"/>
          <c:tx>
            <c:v>Книга M=1,7</c:v>
          </c:tx>
          <c:spPr>
            <a:ln xmlns:a="http://schemas.openxmlformats.org/drawingml/2006/main" w="14288">
              <a:solidFill>
                <a:srgbClr val="548235"/>
              </a:solidFill>
              <a:prstDash val="dash"/>
            </a:ln>
          </c:spPr>
          <c:marker>
            <c:symbol val="none"/>
          </c:marker>
          <c:cat>
            <c:strRef>
              <c:f>'Подъёмная сила'!$L$12:$L$18</c:f>
              <c:strCache>
                <c:ptCount val="0"/>
              </c:strCache>
            </c:strRef>
          </c:cat>
          <c:val>
            <c:numRef>
              <c:f>'Подъёмная сила'!$R$12:$R$18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α, °</a:t>
                </a:r>
              </a:p>
            </c:rich>
          </c:tx>
          <c:overlay val="0"/>
        </c:title>
        <c:numFmt formatCode="0.0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Cy</a:t>
                </a:r>
              </a:p>
            </c:rich>
          </c:tx>
          <c:overlay val="0"/>
        </c:title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Погрешность Cy по точкам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Ошибка M=0,8, %</c:v>
          </c:tx>
          <c:spPr>
            <a:ln xmlns:a="http://schemas.openxmlformats.org/drawingml/2006/main" w="21431">
              <a:solidFill>
                <a:srgbClr val="2F5597"/>
              </a:solidFill>
              <a:prstDash val="solid"/>
            </a:ln>
          </c:spPr>
          <c:marker>
            <c:symbol val="none"/>
          </c:marker>
          <c:cat>
            <c:strRef>
              <c:f>'Подъёмная сила'!$T$12:$T$18</c:f>
              <c:strCache>
                <c:ptCount val="0"/>
              </c:strCache>
            </c:strRef>
          </c:cat>
          <c:val>
            <c:numRef>
              <c:f>'Подъёмная сила'!$U$12:$U$18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Ошибка M=1,2, %</c:v>
          </c:tx>
          <c:spPr>
            <a:ln xmlns:a="http://schemas.openxmlformats.org/drawingml/2006/main" w="21431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'Подъёмная сила'!$T$12:$T$18</c:f>
              <c:strCache>
                <c:ptCount val="0"/>
              </c:strCache>
            </c:strRef>
          </c:cat>
          <c:val>
            <c:numRef>
              <c:f>'Подъёмная сила'!$V$12:$V$18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Ошибка M=1,7, %</c:v>
          </c:tx>
          <c:spPr>
            <a:ln xmlns:a="http://schemas.openxmlformats.org/drawingml/2006/main" w="21431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'Подъёмная сила'!$T$12:$T$18</c:f>
              <c:strCache>
                <c:ptCount val="0"/>
              </c:strCache>
            </c:strRef>
          </c:cat>
          <c:val>
            <c:numRef>
              <c:f>'Подъёмная сила'!$W$12:$W$18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α, °</a:t>
                </a:r>
              </a:p>
            </c:rich>
          </c:tx>
          <c:overlay val="0"/>
        </c:title>
        <c:numFmt formatCode="0.0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Ошибка, %</a:t>
                </a:r>
              </a:p>
            </c:rich>
          </c:tx>
          <c:overlay val="0"/>
        </c:title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Cyα в зависимости от числа M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Cyα=ΔCy/1°</c:v>
          </c:tx>
          <c:spPr>
            <a:ln xmlns:a="http://schemas.openxmlformats.org/drawingml/2006/main" w="21431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'Cy полный диапазон'!$N$6:$N$25</c:f>
              <c:strCache>
                <c:ptCount val="0"/>
              </c:strCache>
            </c:strRef>
          </c:cat>
          <c:val>
            <c:numRef>
              <c:f>'Cy полный диапазон'!$O$6:$O$25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Cyα лин. 0…5°</c:v>
          </c:tx>
          <c:spPr>
            <a:ln xmlns:a="http://schemas.openxmlformats.org/drawingml/2006/main" w="21431">
              <a:solidFill>
                <a:srgbClr val="2F5597"/>
              </a:solidFill>
              <a:prstDash val="solid"/>
            </a:ln>
          </c:spPr>
          <c:marker>
            <c:symbol val="none"/>
          </c:marker>
          <c:cat>
            <c:strRef>
              <c:f>'Cy полный диапазон'!$N$6:$N$25</c:f>
              <c:strCache>
                <c:ptCount val="0"/>
              </c:strCache>
            </c:strRef>
          </c:cat>
          <c:val>
            <c:numRef>
              <c:f>'Cy полный диапазон'!$P$6:$P$25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</a:t>
                </a:r>
              </a:p>
            </c:rich>
          </c:tx>
          <c:overlay val="0"/>
        </c:title>
        <c:numFmt formatCode="0.0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Cyα, 1/°</a:t>
                </a:r>
              </a:p>
            </c:rich>
          </c:tx>
          <c:overlay val="0"/>
        </c:title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Cy(M) при α=0…5°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Cy α=0°</c:v>
          </c:tx>
          <c:spPr>
            <a:ln xmlns:a="http://schemas.openxmlformats.org/drawingml/2006/main" w="21431">
              <a:solidFill>
                <a:srgbClr val="7F7F7F"/>
              </a:solidFill>
              <a:prstDash val="solid"/>
            </a:ln>
          </c:spPr>
          <c:marker>
            <c:symbol val="none"/>
          </c:marker>
          <c:cat>
            <c:strRef>
              <c:f>'Cy полный диапазон'!$T$6:$T$25</c:f>
              <c:strCache>
                <c:ptCount val="0"/>
              </c:strCache>
            </c:strRef>
          </c:cat>
          <c:val>
            <c:numRef>
              <c:f>'Cy полный диапазон'!$U$6:$U$25</c:f>
              <c:numCache>
                <c:formatCode>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Cy α=1°</c:v>
          </c:tx>
          <c:spPr>
            <a:ln xmlns:a="http://schemas.openxmlformats.org/drawingml/2006/main" w="21431">
              <a:solidFill>
                <a:srgbClr val="2F5597"/>
              </a:solidFill>
              <a:prstDash val="solid"/>
            </a:ln>
          </c:spPr>
          <c:marker>
            <c:symbol val="none"/>
          </c:marker>
          <c:cat>
            <c:strRef>
              <c:f>'Cy полный диапазон'!$T$6:$T$25</c:f>
              <c:strCache>
                <c:ptCount val="0"/>
              </c:strCache>
            </c:strRef>
          </c:cat>
          <c:val>
            <c:numRef>
              <c:f>'Cy полный диапазон'!$V$6:$V$25</c:f>
              <c:numCache>
                <c:formatCode>0.00</c:formatCode>
                <c:ptCount val="0"/>
              </c:numCache>
            </c:numRef>
          </c:val>
          <c:smooth val="0"/>
        </c:ser>
        <c:ser>
          <c:idx val="2"/>
          <c:order val="2"/>
          <c:tx>
            <c:v>Cy α=2°</c:v>
          </c:tx>
          <c:spPr>
            <a:ln xmlns:a="http://schemas.openxmlformats.org/drawingml/2006/main" w="21431">
              <a:solidFill>
                <a:srgbClr val="5B9BD5"/>
              </a:solidFill>
              <a:prstDash val="solid"/>
            </a:ln>
          </c:spPr>
          <c:marker>
            <c:symbol val="none"/>
          </c:marker>
          <c:cat>
            <c:strRef>
              <c:f>'Cy полный диапазон'!$T$6:$T$25</c:f>
              <c:strCache>
                <c:ptCount val="0"/>
              </c:strCache>
            </c:strRef>
          </c:cat>
          <c:val>
            <c:numRef>
              <c:f>'Cy полный диапазон'!$W$6:$W$25</c:f>
              <c:numCache>
                <c:formatCode>0.00</c:formatCode>
                <c:ptCount val="0"/>
              </c:numCache>
            </c:numRef>
          </c:val>
          <c:smooth val="0"/>
        </c:ser>
        <c:ser>
          <c:idx val="3"/>
          <c:order val="3"/>
          <c:tx>
            <c:v>Cy α=3°</c:v>
          </c:tx>
          <c:spPr>
            <a:ln xmlns:a="http://schemas.openxmlformats.org/drawingml/2006/main" w="21431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'Cy полный диапазон'!$T$6:$T$25</c:f>
              <c:strCache>
                <c:ptCount val="0"/>
              </c:strCache>
            </c:strRef>
          </c:cat>
          <c:val>
            <c:numRef>
              <c:f>'Cy полный диапазон'!$X$6:$X$25</c:f>
              <c:numCache>
                <c:formatCode>0.00</c:formatCode>
                <c:ptCount val="0"/>
              </c:numCache>
            </c:numRef>
          </c:val>
          <c:smooth val="0"/>
        </c:ser>
        <c:ser>
          <c:idx val="4"/>
          <c:order val="4"/>
          <c:tx>
            <c:v>Cy α=4°</c:v>
          </c:tx>
          <c:spPr>
            <a:ln xmlns:a="http://schemas.openxmlformats.org/drawingml/2006/main" w="21431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'Cy полный диапазон'!$T$6:$T$25</c:f>
              <c:strCache>
                <c:ptCount val="0"/>
              </c:strCache>
            </c:strRef>
          </c:cat>
          <c:val>
            <c:numRef>
              <c:f>'Cy полный диапазон'!$Y$6:$Y$25</c:f>
              <c:numCache>
                <c:formatCode>0.00</c:formatCode>
                <c:ptCount val="0"/>
              </c:numCache>
            </c:numRef>
          </c:val>
          <c:smooth val="0"/>
        </c:ser>
        <c:ser>
          <c:idx val="5"/>
          <c:order val="5"/>
          <c:tx>
            <c:v>Cy α=5°</c:v>
          </c:tx>
          <c:spPr>
            <a:ln xmlns:a="http://schemas.openxmlformats.org/drawingml/2006/main" w="21431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'Cy полный диапазон'!$T$6:$T$25</c:f>
              <c:strCache>
                <c:ptCount val="0"/>
              </c:strCache>
            </c:strRef>
          </c:cat>
          <c:val>
            <c:numRef>
              <c:f>'Cy полный диапазон'!$Z$6:$Z$25</c:f>
              <c:numCache>
                <c:formatCode>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</a:t>
                </a:r>
              </a:p>
            </c:rich>
          </c:tx>
          <c:overlay val="0"/>
        </c:title>
        <c:numFmt formatCode="0.0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Cy</a:t>
                </a:r>
              </a:p>
            </c:rich>
          </c:tx>
          <c:overlay val="0"/>
        </c:title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9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Cx0 на дозвуке: расчёт и книжная кривая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Полуэмпирика</c:v>
          </c:tx>
          <c:spPr>
            <a:ln xmlns:a="http://schemas.openxmlformats.org/drawingml/2006/main" w="21431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strRef>
              <c:f>'Дозвук Cx0'!$K$11:$K$19</c:f>
              <c:strCache>
                <c:ptCount val="0"/>
              </c:strCache>
            </c:strRef>
          </c:cat>
          <c:val>
            <c:numRef>
              <c:f>'Дозвук Cx0'!$L$11:$L$19</c:f>
              <c:numCache>
                <c:formatCode>0.000</c:formatCode>
                <c:ptCount val="0"/>
              </c:numCache>
            </c:numRef>
          </c:val>
          <c:smooth val="0"/>
        </c:ser>
        <c:ser>
          <c:idx val="1"/>
          <c:order val="1"/>
          <c:tx>
            <c:v>VSPAERO raw</c:v>
          </c:tx>
          <c:spPr>
            <a:ln xmlns:a="http://schemas.openxmlformats.org/drawingml/2006/main" w="14288">
              <a:solidFill>
                <a:srgbClr val="7F7F7F"/>
              </a:solidFill>
              <a:prstDash val="dash"/>
            </a:ln>
          </c:spPr>
          <c:marker>
            <c:symbol val="none"/>
          </c:marker>
          <c:cat>
            <c:strRef>
              <c:f>'Дозвук Cx0'!$K$11:$K$19</c:f>
              <c:strCache>
                <c:ptCount val="0"/>
              </c:strCache>
            </c:strRef>
          </c:cat>
          <c:val>
            <c:numRef>
              <c:f>'Дозвук Cx0'!$M$11:$M$19</c:f>
              <c:numCache>
                <c:formatCode>0.000</c:formatCode>
                <c:ptCount val="0"/>
              </c:numCache>
            </c:numRef>
          </c:val>
          <c:smooth val="0"/>
        </c:ser>
        <c:ser>
          <c:idx val="2"/>
          <c:order val="2"/>
          <c:tx>
            <c:v>Книга</c:v>
          </c:tx>
          <c:spPr>
            <a:ln xmlns:a="http://schemas.openxmlformats.org/drawingml/2006/main" w="14288">
              <a:solidFill>
                <a:srgbClr val="1F1F1F"/>
              </a:solidFill>
              <a:prstDash val="dash"/>
            </a:ln>
          </c:spPr>
          <c:marker>
            <c:symbol val="none"/>
          </c:marker>
          <c:cat>
            <c:strRef>
              <c:f>'Дозвук Cx0'!$K$11:$K$19</c:f>
              <c:strCache>
                <c:ptCount val="0"/>
              </c:strCache>
            </c:strRef>
          </c:cat>
          <c:val>
            <c:numRef>
              <c:f>'Дозвук Cx0'!$N$11:$N$19</c:f>
              <c:numCache>
                <c:formatCode>0.000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</a:t>
                </a:r>
              </a:p>
            </c:rich>
          </c:tx>
          <c:overlay val="0"/>
        </c:title>
        <c:numFmt formatCode="0.0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Cx0</a:t>
                </a:r>
              </a:p>
            </c:rich>
          </c:tx>
          <c:overlay val="0"/>
        </c:title>
        <c:numFmt formatCode="0.0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10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Погрешность полуэмпирического Cx0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|Ошибка|, %</c:v>
          </c:tx>
          <c:spPr>
            <a:ln xmlns:a="http://schemas.openxmlformats.org/drawingml/2006/main" w="21431">
              <a:solidFill>
                <a:srgbClr val="2F5597"/>
              </a:solidFill>
              <a:prstDash val="solid"/>
            </a:ln>
          </c:spPr>
          <c:marker>
            <c:symbol val="none"/>
          </c:marker>
          <c:cat>
            <c:strRef>
              <c:f>'Дозвук Cx0'!$P$11:$P$19</c:f>
              <c:strCache>
                <c:ptCount val="0"/>
              </c:strCache>
            </c:strRef>
          </c:cat>
          <c:val>
            <c:numRef>
              <c:f>'Дозвук Cx0'!$Q$11:$Q$19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M</a:t>
                </a:r>
              </a:p>
            </c:rich>
          </c:tx>
          <c:overlay val="0"/>
        </c:title>
        <c:numFmt formatCode="0.0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|Ошибка|, %</a:t>
                </a:r>
              </a:p>
            </c:rich>
          </c:tx>
          <c:overlay val="0"/>
        </c:title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8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28a091d22a4145"/>
        </a:graphicData>
      </a:graphic>
    </xdr:graphicFrame>
    <xdr:clientData/>
  </xdr:twoCellAnchor>
  <xdr:twoCellAnchor>
    <xdr:from>
      <xdr:col>8</xdr:col>
      <xdr:colOff>0</xdr:colOff>
      <xdr:row>10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689790524d5469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23</xdr:row>
      <xdr:rowOff>0</xdr:rowOff>
    </xdr:from>
    <xdr:to>
      <xdr:col>8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a550e10d784235"/>
        </a:graphicData>
      </a:graphic>
    </xdr:graphicFrame>
    <xdr:clientData/>
  </xdr:twoCellAnchor>
  <xdr:twoCellAnchor>
    <xdr:from>
      <xdr:col>8</xdr:col>
      <xdr:colOff>0</xdr:colOff>
      <xdr:row>23</xdr:row>
      <xdr:rowOff>0</xdr:rowOff>
    </xdr:from>
    <xdr:to>
      <xdr:col>16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50fddf84ab448c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0</xdr:col>
      <xdr:colOff>0</xdr:colOff>
      <xdr:row>37</xdr:row>
      <xdr:rowOff>0</xdr:rowOff>
    </xdr:from>
    <xdr:to>
      <xdr:col>8</xdr:col>
      <xdr:colOff>0</xdr:colOff>
      <xdr:row>55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3684d657f2d4070"/>
        </a:graphicData>
      </a:graphic>
    </xdr:graphicFrame>
    <xdr:clientData/>
  </xdr:twoCellAnchor>
  <xdr:twoCellAnchor>
    <xdr:from>
      <xdr:col>8</xdr:col>
      <xdr:colOff>0</xdr:colOff>
      <xdr:row>37</xdr:row>
      <xdr:rowOff>0</xdr:rowOff>
    </xdr:from>
    <xdr:to>
      <xdr:col>16</xdr:col>
      <xdr:colOff>0</xdr:colOff>
      <xdr:row>55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5897f9c4ab44a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13</xdr:col>
      <xdr:colOff>0</xdr:colOff>
      <xdr:row>28</xdr:row>
      <xdr:rowOff>0</xdr:rowOff>
    </xdr:from>
    <xdr:to>
      <xdr:col>21</xdr:col>
      <xdr:colOff>0</xdr:colOff>
      <xdr:row>47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261f793e974d82"/>
        </a:graphicData>
      </a:graphic>
    </xdr:graphicFrame>
    <xdr:clientData/>
  </xdr:twoCellAnchor>
  <xdr:twoCellAnchor>
    <xdr:from>
      <xdr:col>21</xdr:col>
      <xdr:colOff>0</xdr:colOff>
      <xdr:row>28</xdr:row>
      <xdr:rowOff>0</xdr:rowOff>
    </xdr:from>
    <xdr:to>
      <xdr:col>29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2503303b1b4fda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8</xdr:col>
      <xdr:colOff>0</xdr:colOff>
      <xdr:row>40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7664b6b02946e9"/>
        </a:graphicData>
      </a:graphic>
    </xdr:graphicFrame>
    <xdr:clientData/>
  </xdr:twoCellAnchor>
  <xdr:twoCellAnchor>
    <xdr:from>
      <xdr:col>8</xdr:col>
      <xdr:colOff>0</xdr:colOff>
      <xdr:row>22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e48aa5050f7453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106994a710648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1b359eb6b8a49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2b0f07ff6fc943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5bc11a9a494c44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cf5e48e0a1054f07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3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</x:cols>
  <x:sheetData>
    <x:row r="1">
      <x:c r="A1" s="3" t="str">
        <x:v>RepairMach 9.1 — сводка лучших аэродинамических результатов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66"/>
      <x:c r="R1" s="66" t="str">
        <x:v>α, °</x:v>
      </x:c>
      <x:c r="S1" s="66" t="str">
        <x:v>Расчёт M=0,8</x:v>
      </x:c>
      <x:c r="T1" s="66" t="str">
        <x:v>Книга M=0,8</x:v>
      </x:c>
      <x:c r="U1" s="66" t="str">
        <x:v>Расчёт M=1,2</x:v>
      </x:c>
      <x:c r="V1" s="66" t="str">
        <x:v>Книга M=1,2</x:v>
      </x:c>
      <x:c r="W1" s="66" t="str">
        <x:v>Расчёт M=1,7</x:v>
      </x:c>
      <x:c r="X1" s="66" t="str">
        <x:v>Книга M=1,7</x:v>
      </x:c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66"/>
      <x:c r="R2" s="66" t="n">
        <x:v>0</x:v>
      </x:c>
      <x:c r="S2" s="66" t="n">
        <x:v>0.05</x:v>
      </x:c>
      <x:c r="T2" s="66" t="n">
        <x:v>0.05</x:v>
      </x:c>
      <x:c r="U2" s="66" t="n">
        <x:v>0.05</x:v>
      </x:c>
      <x:c r="V2" s="66" t="n">
        <x:v>0.05</x:v>
      </x:c>
      <x:c r="W2" s="66" t="n">
        <x:v>0.05</x:v>
      </x:c>
      <x:c r="X2" s="66" t="n">
        <x:v>0.05</x:v>
      </x:c>
    </x:row>
    <x:row r="3">
      <x:c r="A3" s="6" t="str">
        <x:v>Подъёмная сила, дозвуковой Cx0 и сверхзвуковой Cx0 собраны из лучших проверенных серий. Для каждого режима сохранена собственная физически обоснованная методика.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6"/>
      <x:c r="R3" s="66" t="n">
        <x:v>2</x:v>
      </x:c>
      <x:c r="S3" s="66" t="n">
        <x:v>0.169432767238</x:v>
      </x:c>
      <x:c r="T3" s="66" t="n">
        <x:v>0.165</x:v>
      </x:c>
      <x:c r="U3" s="66" t="n">
        <x:v>0.19192140601399998</x:v>
      </x:c>
      <x:c r="V3" s="66" t="n">
        <x:v>0.20840000000000003</x:v>
      </x:c>
      <x:c r="W3" s="66" t="n">
        <x:v>0.13282255328092946</x:v>
      </x:c>
      <x:c r="X3" s="66" t="n">
        <x:v>0.136</x:v>
      </x:c>
    </x:row>
    <x:row r="4">
      <x:c r="A4" s="66"/>
      <x:c r="B4" s="66"/>
      <x:c r="C4" s="66"/>
      <x:c r="D4" s="66"/>
      <x:c r="E4" s="66"/>
      <x:c r="F4" s="66"/>
      <x:c r="G4" s="66"/>
      <x:c r="H4" s="66"/>
      <x:c r="I4" s="66"/>
      <x:c r="J4" s="66"/>
      <x:c r="K4" s="66"/>
      <x:c r="L4" s="66"/>
      <x:c r="M4" s="66"/>
      <x:c r="N4" s="66"/>
      <x:c r="O4" s="66"/>
      <x:c r="P4" s="66"/>
      <x:c r="Q4" s="66"/>
      <x:c r="R4" s="66" t="n">
        <x:v>4</x:v>
      </x:c>
      <x:c r="S4" s="66" t="n">
        <x:v>0.287386351034</x:v>
      </x:c>
      <x:c r="T4" s="66" t="n">
        <x:v>0.28</x:v>
      </x:c>
      <x:c r="U4" s="66" t="n">
        <x:v>0.333712855867</x:v>
      </x:c>
      <x:c r="V4" s="66" t="n">
        <x:v>0.3668</x:v>
      </x:c>
      <x:c r="W4" s="66" t="n">
        <x:v>0.21564510656185892</x:v>
      </x:c>
      <x:c r="X4" s="66" t="n">
        <x:v>0.22199999999999998</x:v>
      </x:c>
    </x:row>
    <x:row r="5">
      <x:c r="A5" s="9" t="str">
        <x:v>Подъёмная сила Cy(α)</x:v>
      </x:c>
      <x:c r="B5" s="9"/>
      <x:c r="C5" s="9"/>
      <x:c r="D5" s="9"/>
      <x:c r="E5" s="9"/>
      <x:c r="F5" s="12" t="str">
        <x:v>Cx0 — дозвук</x:v>
      </x:c>
      <x:c r="G5" s="12"/>
      <x:c r="H5" s="12"/>
      <x:c r="I5" s="12"/>
      <x:c r="J5" s="12"/>
      <x:c r="K5" s="15" t="str">
        <x:v>Cx0 — сверхзвук</x:v>
      </x:c>
      <x:c r="L5" s="15"/>
      <x:c r="M5" s="15"/>
      <x:c r="N5" s="15"/>
      <x:c r="O5" s="15"/>
      <x:c r="P5" s="15"/>
      <x:c r="Q5" s="66"/>
      <x:c r="R5" s="66" t="n">
        <x:v>6</x:v>
      </x:c>
      <x:c r="S5" s="66" t="n">
        <x:v>0.40357575477400004</x:v>
      </x:c>
      <x:c r="T5" s="66" t="n">
        <x:v>0.395</x:v>
      </x:c>
      <x:c r="U5" s="66" t="n">
        <x:v>0.47254824683900004</x:v>
      </x:c>
      <x:c r="V5" s="66" t="n">
        <x:v>0.5252000000000001</x:v>
      </x:c>
      <x:c r="W5" s="66" t="n">
        <x:v>0.29846765984278834</x:v>
      </x:c>
      <x:c r="X5" s="66" t="n">
        <x:v>0.308</x:v>
      </x:c>
    </x:row>
    <x:row r="6">
      <x:c r="A6" s="19" t="str">
        <x:v>Чисел M без транзвука</x:v>
      </x:c>
      <x:c r="B6" s="19"/>
      <x:c r="C6" s="23" t="n">
        <x:v>20</x:v>
      </x:c>
      <x:c r="D6" s="23"/>
      <x:c r="E6" s="23"/>
      <x:c r="F6" s="19" t="str">
        <x:v>Диапазон сравнения</x:v>
      </x:c>
      <x:c r="G6" s="19"/>
      <x:c r="H6" s="23" t="str">
        <x:v>M=0,30…0,80</x:v>
      </x:c>
      <x:c r="I6" s="23"/>
      <x:c r="J6" s="23"/>
      <x:c r="K6" s="19" t="str">
        <x:v>Диапазон</x:v>
      </x:c>
      <x:c r="L6" s="19"/>
      <x:c r="M6" s="23" t="str">
        <x:v>M=1,20…1,70</x:v>
      </x:c>
      <x:c r="N6" s="23"/>
      <x:c r="O6" s="23"/>
      <x:c r="P6" s="23"/>
      <x:c r="Q6" s="66"/>
      <x:c r="R6" s="66" t="n">
        <x:v>8</x:v>
      </x:c>
      <x:c r="S6" s="66" t="n">
        <x:v>0.52474830421</x:v>
      </x:c>
      <x:c r="T6" s="66" t="n">
        <x:v>0.51</x:v>
      </x:c>
      <x:c r="U6" s="66" t="n">
        <x:v>0.608298148633</x:v>
      </x:c>
      <x:c r="V6" s="66" t="n">
        <x:v>0.6836000000000001</x:v>
      </x:c>
      <x:c r="W6" s="66" t="n">
        <x:v>0.3812902131237178</x:v>
      </x:c>
      <x:c r="X6" s="66" t="n">
        <x:v>0.39399999999999996</x:v>
      </x:c>
    </x:row>
    <x:row r="7">
      <x:c r="A7" s="19" t="str">
        <x:v>Прямых / всего</x:v>
      </x:c>
      <x:c r="B7" s="19"/>
      <x:c r="C7" s="23" t="str">
        <x:v>15 / 20</x:v>
      </x:c>
      <x:c r="D7" s="23"/>
      <x:c r="E7" s="23"/>
      <x:c r="F7" s="19" t="str">
        <x:v>Средняя |ошибка|</x:v>
      </x:c>
      <x:c r="G7" s="19"/>
      <x:c r="H7" s="27" t="n">
        <x:v>0.11630434189539292</x:v>
      </x:c>
      <x:c r="I7" s="27"/>
      <x:c r="J7" s="27"/>
      <x:c r="K7" s="19" t="str">
        <x:v>Средняя |ошибка|</x:v>
      </x:c>
      <x:c r="L7" s="19"/>
      <x:c r="M7" s="27" t="n">
        <x:v>0.10839961044894914</x:v>
      </x:c>
      <x:c r="N7" s="27"/>
      <x:c r="O7" s="27"/>
      <x:c r="P7" s="27"/>
      <x:c r="Q7" s="66"/>
      <x:c r="R7" s="66" t="n">
        <x:v>10</x:v>
      </x:c>
      <x:c r="S7" s="66" t="n">
        <x:v>0.638260925222</x:v>
      </x:c>
      <x:c r="T7" s="66" t="n">
        <x:v>0.6250000000000001</x:v>
      </x:c>
      <x:c r="U7" s="66" t="n">
        <x:v>0.73959457653</x:v>
      </x:c>
      <x:c r="V7" s="66" t="n">
        <x:v>0.8420000000000001</x:v>
      </x:c>
      <x:c r="W7" s="66" t="n">
        <x:v>0.46411276640464727</x:v>
      </x:c>
      <x:c r="X7" s="66" t="n">
        <x:v>0.4799999999999999</x:v>
      </x:c>
    </x:row>
    <x:row r="8">
      <x:c r="A8" s="19" t="str">
        <x:v>Лучшие опорные ≤15%</x:v>
      </x:c>
      <x:c r="B8" s="19"/>
      <x:c r="C8" s="23" t="str">
        <x:v>3 / 3</x:v>
      </x:c>
      <x:c r="D8" s="23"/>
      <x:c r="E8" s="23"/>
      <x:c r="F8" s="19" t="str">
        <x:v>Ошибка при M=0,8</x:v>
      </x:c>
      <x:c r="G8" s="19"/>
      <x:c r="H8" s="27" t="n">
        <x:v>0.049818999616516306</x:v>
      </x:c>
      <x:c r="I8" s="27"/>
      <x:c r="J8" s="27"/>
      <x:c r="K8" s="19" t="str">
        <x:v>Макс. |ошибка|</x:v>
      </x:c>
      <x:c r="L8" s="19"/>
      <x:c r="M8" s="27" t="n">
        <x:v>0.23656103169160797</x:v>
      </x:c>
      <x:c r="N8" s="27"/>
      <x:c r="O8" s="27"/>
      <x:c r="P8" s="27"/>
      <x:c r="Q8" s="66"/>
      <x:c r="R8" s="66" t="n">
        <x:v>12</x:v>
      </x:c>
      <x:c r="S8" s="66" t="n">
        <x:v>0.7498370638209999</x:v>
      </x:c>
      <x:c r="T8" s="66" t="n">
        <x:v>0.7400000000000001</x:v>
      </x:c>
      <x:c r="U8" s="66" t="n">
        <x:v>0.865111715814</x:v>
      </x:c>
      <x:c r="V8" s="66" t="n">
        <x:v>1.0004000000000002</x:v>
      </x:c>
      <x:c r="W8" s="66" t="n">
        <x:v>0.5469353196855767</x:v>
      </x:c>
      <x:c r="X8" s="66" t="n">
        <x:v>0.5660000000000001</x:v>
      </x:c>
    </x:row>
    <x:row r="9">
      <x:c r="A9" s="66"/>
      <x:c r="B9" s="66"/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  <x:c r="X9" s="66"/>
    </x:row>
    <x:row r="10">
      <x:c r="A10" s="66"/>
      <x:c r="B10" s="66"/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  <x:c r="X10" s="66"/>
    </x:row>
    <x:row r="11">
      <x:c r="A11" s="66"/>
      <x:c r="B11" s="66"/>
      <x:c r="C11" s="66"/>
      <x:c r="D11" s="66"/>
      <x:c r="E11" s="66"/>
      <x:c r="F11" s="66"/>
      <x:c r="G11" s="66"/>
      <x:c r="H11" s="66"/>
      <x:c r="I11" s="66"/>
      <x:c r="J11" s="66"/>
      <x:c r="K11" s="66"/>
      <x:c r="L11" s="66"/>
      <x:c r="M11" s="66"/>
      <x:c r="N11" s="66"/>
      <x:c r="O11" s="66"/>
      <x:c r="P11" s="66"/>
      <x:c r="Q11" s="66"/>
      <x:c r="R11" s="66"/>
      <x:c r="S11" s="66"/>
      <x:c r="T11" s="66"/>
      <x:c r="U11" s="66"/>
      <x:c r="V11" s="66"/>
      <x:c r="W11" s="66"/>
      <x:c r="X11" s="66"/>
    </x:row>
    <x:row r="12">
      <x:c r="A12" s="66"/>
      <x:c r="B12" s="66"/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  <x:c r="Q12" s="66"/>
      <x:c r="R12" s="66" t="str">
        <x:v>M</x:v>
      </x:c>
      <x:c r="S12" s="66" t="str">
        <x:v>Cx0 дозвук</x:v>
      </x:c>
      <x:c r="T12" s="66" t="str">
        <x:v>Cx0 сверхзвук</x:v>
      </x:c>
      <x:c r="U12" s="66" t="str">
        <x:v>Книга дозвук</x:v>
      </x:c>
      <x:c r="V12" s="66" t="str">
        <x:v>Книга сверхзвук</x:v>
      </x:c>
      <x:c r="W12" s="66"/>
      <x:c r="X12" s="66"/>
    </x:row>
    <x:row r="13">
      <x:c r="A13" s="66"/>
      <x:c r="B13" s="66"/>
      <x:c r="C13" s="66"/>
      <x:c r="D13" s="66"/>
      <x:c r="E13" s="66"/>
      <x:c r="F13" s="66"/>
      <x:c r="G13" s="66"/>
      <x:c r="H13" s="66"/>
      <x:c r="I13" s="66"/>
      <x:c r="J13" s="66"/>
      <x:c r="K13" s="66"/>
      <x:c r="L13" s="66"/>
      <x:c r="M13" s="66"/>
      <x:c r="N13" s="66"/>
      <x:c r="O13" s="66"/>
      <x:c r="P13" s="66"/>
      <x:c r="Q13" s="66"/>
      <x:c r="R13" s="66" t="n">
        <x:v>0.3</x:v>
      </x:c>
      <x:c r="S13" s="66" t="n">
        <x:v>0.02008686901530145</x:v>
      </x:c>
      <x:c r="T13" s="66"/>
      <x:c r="U13" s="66" t="n">
        <x:v>0.024</x:v>
      </x:c>
      <x:c r="V13" s="66"/>
      <x:c r="W13" s="66"/>
      <x:c r="X13" s="66"/>
    </x:row>
    <x:row r="14">
      <x:c r="A14" s="66"/>
      <x:c r="B14" s="66"/>
      <x:c r="C14" s="66"/>
      <x:c r="D14" s="66"/>
      <x:c r="E14" s="66"/>
      <x:c r="F14" s="66"/>
      <x:c r="G14" s="66"/>
      <x:c r="H14" s="66"/>
      <x:c r="I14" s="66"/>
      <x:c r="J14" s="66"/>
      <x:c r="K14" s="66"/>
      <x:c r="L14" s="66"/>
      <x:c r="M14" s="66"/>
      <x:c r="N14" s="66"/>
      <x:c r="O14" s="66"/>
      <x:c r="P14" s="66"/>
      <x:c r="Q14" s="66"/>
      <x:c r="R14" s="66" t="n">
        <x:v>0.4</x:v>
      </x:c>
      <x:c r="S14" s="66" t="n">
        <x:v>0.02017797636140328</x:v>
      </x:c>
      <x:c r="T14" s="66"/>
      <x:c r="U14" s="66" t="n">
        <x:v>0.02375</x:v>
      </x:c>
      <x:c r="V14" s="66"/>
      <x:c r="W14" s="66"/>
      <x:c r="X14" s="66"/>
    </x:row>
    <x:row r="15">
      <x:c r="A15" s="66"/>
      <x:c r="B15" s="66"/>
      <x:c r="C15" s="66"/>
      <x:c r="D15" s="66"/>
      <x:c r="E15" s="66"/>
      <x:c r="F15" s="66"/>
      <x:c r="G15" s="66"/>
      <x:c r="H15" s="66"/>
      <x:c r="I15" s="66"/>
      <x:c r="J15" s="66"/>
      <x:c r="K15" s="66"/>
      <x:c r="L15" s="66"/>
      <x:c r="M15" s="66"/>
      <x:c r="N15" s="66"/>
      <x:c r="O15" s="66"/>
      <x:c r="P15" s="66"/>
      <x:c r="Q15" s="66"/>
      <x:c r="R15" s="66" t="n">
        <x:v>0.5</x:v>
      </x:c>
      <x:c r="S15" s="66" t="n">
        <x:v>0.02033975094799074</x:v>
      </x:c>
      <x:c r="T15" s="66"/>
      <x:c r="U15" s="66" t="n">
        <x:v>0.0235</x:v>
      </x:c>
      <x:c r="V15" s="66"/>
      <x:c r="W15" s="66"/>
      <x:c r="X15" s="66"/>
    </x:row>
    <x:row r="16">
      <x:c r="A16" s="66"/>
      <x:c r="B16" s="66"/>
      <x:c r="C16" s="66"/>
      <x:c r="D16" s="66"/>
      <x:c r="E16" s="66"/>
      <x:c r="F16" s="66"/>
      <x:c r="G16" s="66"/>
      <x:c r="H16" s="66"/>
      <x:c r="I16" s="66"/>
      <x:c r="J16" s="66"/>
      <x:c r="K16" s="66"/>
      <x:c r="L16" s="66"/>
      <x:c r="M16" s="66"/>
      <x:c r="N16" s="66"/>
      <x:c r="O16" s="66"/>
      <x:c r="P16" s="66"/>
      <x:c r="Q16" s="66"/>
      <x:c r="R16" s="66" t="n">
        <x:v>0.6</x:v>
      </x:c>
      <x:c r="S16" s="66" t="n">
        <x:v>0.020598884266677126</x:v>
      </x:c>
      <x:c r="T16" s="66"/>
      <x:c r="U16" s="66" t="n">
        <x:v>0.02325</x:v>
      </x:c>
      <x:c r="V16" s="66"/>
      <x:c r="W16" s="66"/>
      <x:c r="X16" s="66"/>
    </x:row>
    <x:row r="17">
      <x:c r="A17" s="66"/>
      <x:c r="B17" s="66"/>
      <x:c r="C17" s="66"/>
      <x:c r="D17" s="66"/>
      <x:c r="E17" s="66"/>
      <x:c r="F17" s="66"/>
      <x:c r="G17" s="66"/>
      <x:c r="H17" s="66"/>
      <x:c r="I17" s="66"/>
      <x:c r="J17" s="66"/>
      <x:c r="K17" s="66"/>
      <x:c r="L17" s="66"/>
      <x:c r="M17" s="66"/>
      <x:c r="N17" s="66"/>
      <x:c r="O17" s="66"/>
      <x:c r="P17" s="66"/>
      <x:c r="Q17" s="66"/>
      <x:c r="R17" s="66" t="n">
        <x:v>0.7</x:v>
      </x:c>
      <x:c r="S17" s="66" t="n">
        <x:v>0.021020763385078082</x:v>
      </x:c>
      <x:c r="T17" s="66"/>
      <x:c r="U17" s="66" t="n">
        <x:v>0.023</x:v>
      </x:c>
      <x:c r="V17" s="66"/>
      <x:c r="W17" s="66"/>
      <x:c r="X17" s="66"/>
    </x:row>
    <x:row r="18">
      <x:c r="A18" s="66"/>
      <x:c r="B18" s="66"/>
      <x:c r="C18" s="66"/>
      <x:c r="D18" s="66"/>
      <x:c r="E18" s="66"/>
      <x:c r="F18" s="66"/>
      <x:c r="G18" s="66"/>
      <x:c r="H18" s="66"/>
      <x:c r="I18" s="66"/>
      <x:c r="J18" s="66"/>
      <x:c r="K18" s="66"/>
      <x:c r="L18" s="66"/>
      <x:c r="M18" s="66"/>
      <x:c r="N18" s="66"/>
      <x:c r="O18" s="66"/>
      <x:c r="P18" s="66"/>
      <x:c r="Q18" s="66"/>
      <x:c r="R18" s="66" t="n">
        <x:v>0.8</x:v>
      </x:c>
      <x:c r="S18" s="66" t="n">
        <x:v>0.021854163008820125</x:v>
      </x:c>
      <x:c r="T18" s="66"/>
      <x:c r="U18" s="66" t="n">
        <x:v>0.023</x:v>
      </x:c>
      <x:c r="V18" s="66"/>
      <x:c r="W18" s="66"/>
      <x:c r="X18" s="66"/>
    </x:row>
    <x:row r="19">
      <x:c r="A19" s="66"/>
      <x:c r="B19" s="66"/>
      <x:c r="C19" s="66"/>
      <x:c r="D19" s="66"/>
      <x:c r="E19" s="66"/>
      <x:c r="F19" s="66"/>
      <x:c r="G19" s="66"/>
      <x:c r="H19" s="66"/>
      <x:c r="I19" s="66"/>
      <x:c r="J19" s="66"/>
      <x:c r="K19" s="66"/>
      <x:c r="L19" s="66"/>
      <x:c r="M19" s="66"/>
      <x:c r="N19" s="66"/>
      <x:c r="O19" s="66"/>
      <x:c r="P19" s="66"/>
      <x:c r="Q19" s="66"/>
      <x:c r="R19" s="66" t="n">
        <x:v>0.9</x:v>
      </x:c>
      <x:c r="S19" s="66"/>
      <x:c r="T19" s="66"/>
      <x:c r="U19" s="66"/>
      <x:c r="V19" s="66"/>
      <x:c r="W19" s="66"/>
      <x:c r="X19" s="66"/>
    </x:row>
    <x:row r="20">
      <x:c r="A20" s="66"/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  <x:c r="R20" s="66" t="n">
        <x:v>1</x:v>
      </x:c>
      <x:c r="S20" s="66"/>
      <x:c r="T20" s="66"/>
      <x:c r="U20" s="66"/>
      <x:c r="V20" s="66"/>
      <x:c r="W20" s="66"/>
      <x:c r="X20" s="66"/>
    </x:row>
    <x:row r="21">
      <x:c r="A21" s="66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  <x:c r="R21" s="66" t="n">
        <x:v>1.1</x:v>
      </x:c>
      <x:c r="S21" s="66"/>
      <x:c r="T21" s="66"/>
      <x:c r="U21" s="66"/>
      <x:c r="V21" s="66"/>
      <x:c r="W21" s="66"/>
      <x:c r="X21" s="66"/>
    </x:row>
    <x:row r="22">
      <x:c r="A22" s="66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  <x:c r="R22" s="66" t="n">
        <x:v>1.2</x:v>
      </x:c>
      <x:c r="S22" s="66"/>
      <x:c r="T22" s="66" t="n">
        <x:v>0.05935492952119718</x:v>
      </x:c>
      <x:c r="U22" s="66"/>
      <x:c r="V22" s="66" t="n">
        <x:v>0.048</x:v>
      </x:c>
      <x:c r="W22" s="66"/>
      <x:c r="X22" s="66"/>
    </x:row>
    <x:row r="23">
      <x:c r="A23" s="66"/>
      <x:c r="B23" s="66"/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  <x:c r="R23" s="66" t="n">
        <x:v>1.25</x:v>
      </x:c>
      <x:c r="S23" s="66"/>
      <x:c r="T23" s="66" t="n">
        <x:v>0.056733474849869785</x:v>
      </x:c>
      <x:c r="U23" s="66"/>
      <x:c r="V23" s="66" t="n">
        <x:v>0.04775</x:v>
      </x:c>
      <x:c r="W23" s="66"/>
      <x:c r="X23" s="66"/>
    </x:row>
    <x:row r="24">
      <x:c r="A24" s="66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  <x:c r="R24" s="66" t="n">
        <x:v>1.3</x:v>
      </x:c>
      <x:c r="S24" s="66"/>
      <x:c r="T24" s="66" t="n">
        <x:v>0.0528283563210937</x:v>
      </x:c>
      <x:c r="U24" s="66"/>
      <x:c r="V24" s="66" t="n">
        <x:v>0.0475</x:v>
      </x:c>
      <x:c r="W24" s="66"/>
      <x:c r="X24" s="66"/>
    </x:row>
    <x:row r="25">
      <x:c r="A25" s="66"/>
      <x:c r="B25" s="66"/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  <x:c r="R25" s="66" t="n">
        <x:v>1.35</x:v>
      </x:c>
      <x:c r="S25" s="66"/>
      <x:c r="T25" s="66" t="n">
        <x:v>0.04988315744174927</x:v>
      </x:c>
      <x:c r="U25" s="66"/>
      <x:c r="V25" s="66" t="n">
        <x:v>0.04725</x:v>
      </x:c>
      <x:c r="W25" s="66"/>
      <x:c r="X25" s="66"/>
    </x:row>
    <x:row r="26">
      <x:c r="A26" s="66"/>
      <x:c r="B26" s="66"/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 t="n">
        <x:v>1.4</x:v>
      </x:c>
      <x:c r="S26" s="66"/>
      <x:c r="T26" s="66" t="n">
        <x:v>0.04724191868221813</x:v>
      </x:c>
      <x:c r="U26" s="66"/>
      <x:c r="V26" s="66" t="n">
        <x:v>0.047</x:v>
      </x:c>
      <x:c r="W26" s="66"/>
      <x:c r="X26" s="66"/>
    </x:row>
    <x:row r="27">
      <x:c r="A27" s="66"/>
      <x:c r="B27" s="66"/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 t="n">
        <x:v>1.45</x:v>
      </x:c>
      <x:c r="S27" s="66"/>
      <x:c r="T27" s="66" t="n">
        <x:v>0.050126929599017524</x:v>
      </x:c>
      <x:c r="U27" s="66"/>
      <x:c r="V27" s="66" t="n">
        <x:v>0.0465</x:v>
      </x:c>
      <x:c r="W27" s="66"/>
      <x:c r="X27" s="66"/>
    </x:row>
    <x:row r="28">
      <x:c r="A28" s="66"/>
      <x:c r="B28" s="66"/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 t="n">
        <x:v>1.5</x:v>
      </x:c>
      <x:c r="S28" s="66"/>
      <x:c r="T28" s="66" t="n">
        <x:v>0.05326569496543397</x:v>
      </x:c>
      <x:c r="U28" s="66"/>
      <x:c r="V28" s="66" t="n">
        <x:v>0.046</x:v>
      </x:c>
      <x:c r="W28" s="66"/>
      <x:c r="X28" s="66"/>
    </x:row>
    <x:row r="29">
      <x:c r="A29" s="66"/>
      <x:c r="B29" s="66"/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  <x:c r="R29" s="66" t="n">
        <x:v>1.55</x:v>
      </x:c>
      <x:c r="S29" s="66"/>
      <x:c r="T29" s="66" t="n">
        <x:v>0.051857168594676005</x:v>
      </x:c>
      <x:c r="U29" s="66"/>
      <x:c r="V29" s="66" t="n">
        <x:v>0.0455</x:v>
      </x:c>
      <x:c r="W29" s="66"/>
      <x:c r="X29" s="66"/>
    </x:row>
    <x:row r="30">
      <x:c r="A30" s="31" t="str">
        <x:v>Главный итог: Cy рассчитан для 20 чисел M (0,0…0,8 и 1,2…2,2) при α=0…5°. Три лучшие книжные опорные точки укладываются в допуск 15%; пять численно неустойчивых режимов в полном ряду заменены прозрачной интерполяцией между соседними прямыми решениями. Дозвуковой и сверхзвуковой Cx0 сохранены отдельными проверенными ветвями.</x:v>
      </x:c>
      <x:c r="B30" s="31"/>
      <x:c r="C30" s="31"/>
      <x:c r="D30" s="31"/>
      <x:c r="E30" s="31"/>
      <x:c r="F30" s="31"/>
      <x:c r="G30" s="31"/>
      <x:c r="H30" s="31"/>
      <x:c r="I30" s="31"/>
      <x:c r="J30" s="31"/>
      <x:c r="K30" s="31"/>
      <x:c r="L30" s="31"/>
      <x:c r="M30" s="31"/>
      <x:c r="N30" s="31"/>
      <x:c r="O30" s="31"/>
      <x:c r="P30" s="31"/>
      <x:c r="Q30" s="66"/>
      <x:c r="R30" s="66" t="n">
        <x:v>1.6</x:v>
      </x:c>
      <x:c r="S30" s="66"/>
      <x:c r="T30" s="66" t="n">
        <x:v>0.05019295439669532</x:v>
      </x:c>
      <x:c r="U30" s="66"/>
      <x:c r="V30" s="66" t="n">
        <x:v>0.045</x:v>
      </x:c>
      <x:c r="W30" s="66"/>
      <x:c r="X30" s="66"/>
    </x:row>
    <x:row r="31">
      <x:c r="A31" s="31"/>
      <x:c r="B31" s="31"/>
      <x:c r="C31" s="31"/>
      <x:c r="D31" s="31"/>
      <x:c r="E31" s="31"/>
      <x:c r="F31" s="31"/>
      <x:c r="G31" s="31"/>
      <x:c r="H31" s="31"/>
      <x:c r="I31" s="31"/>
      <x:c r="J31" s="31"/>
      <x:c r="K31" s="31"/>
      <x:c r="L31" s="31"/>
      <x:c r="M31" s="31"/>
      <x:c r="N31" s="31"/>
      <x:c r="O31" s="31"/>
      <x:c r="P31" s="31"/>
      <x:c r="Q31" s="66"/>
      <x:c r="R31" s="66" t="n">
        <x:v>1.65</x:v>
      </x:c>
      <x:c r="S31" s="66"/>
      <x:c r="T31" s="66" t="n">
        <x:v>0.04793088205396373</x:v>
      </x:c>
      <x:c r="U31" s="66"/>
      <x:c r="V31" s="66" t="n">
        <x:v>0.0445</x:v>
      </x:c>
      <x:c r="W31" s="66"/>
      <x:c r="X31" s="66"/>
    </x:row>
    <x:row r="32">
      <x:c r="A32" s="31"/>
      <x:c r="B32" s="31"/>
      <x:c r="C32" s="31"/>
      <x:c r="D32" s="31"/>
      <x:c r="E32" s="31"/>
      <x:c r="F32" s="31"/>
      <x:c r="G32" s="31"/>
      <x:c r="H32" s="31"/>
      <x:c r="I32" s="31"/>
      <x:c r="J32" s="31"/>
      <x:c r="K32" s="31"/>
      <x:c r="L32" s="31"/>
      <x:c r="M32" s="31"/>
      <x:c r="N32" s="31"/>
      <x:c r="O32" s="31"/>
      <x:c r="P32" s="31"/>
      <x:c r="Q32" s="66"/>
      <x:c r="R32" s="66" t="n">
        <x:v>1.7</x:v>
      </x:c>
      <x:c r="S32" s="66"/>
      <x:c r="T32" s="66" t="n">
        <x:v>0.045165292856474415</x:v>
      </x:c>
      <x:c r="U32" s="66"/>
      <x:c r="V32" s="66" t="n">
        <x:v>0.044</x:v>
      </x:c>
      <x:c r="W32" s="66"/>
      <x:c r="X32" s="66"/>
    </x:row>
    <x:row r="33">
      <x:c r="A33" s="66"/>
      <x:c r="B33" s="66"/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</x:row>
    <x:row r="34">
      <x:c r="A34" s="36" t="str">
        <x:v>Показатель</x:v>
      </x:c>
      <x:c r="B34" s="36" t="str">
        <x:v>Метод</x:v>
      </x:c>
      <x:c r="C34" s="36"/>
      <x:c r="D34" s="36"/>
      <x:c r="E34" s="36" t="str">
        <x:v>Почему выбран</x:v>
      </x:c>
      <x:c r="F34" s="36"/>
      <x:c r="G34" s="36"/>
      <x:c r="H34" s="36"/>
      <x:c r="I34" s="36"/>
      <x:c r="J34" s="36"/>
      <x:c r="K34" s="36"/>
      <x:c r="L34" s="36"/>
      <x:c r="M34" s="36"/>
      <x:c r="N34" s="36"/>
      <x:c r="O34" s="36"/>
      <x:c r="P34" s="36"/>
      <x:c r="Q34" s="66"/>
      <x:c r="R34" s="66"/>
      <x:c r="S34" s="66"/>
      <x:c r="T34" s="66"/>
      <x:c r="U34" s="66"/>
      <x:c r="V34" s="66"/>
      <x:c r="W34" s="66"/>
      <x:c r="X34" s="66"/>
    </x:row>
    <x:row r="35">
      <x:c r="A35" s="38" t="str">
        <x:v>Cy(α)</x:v>
      </x:c>
      <x:c r="B35" s="41" t="str">
        <x:v>VSPAERO, полный ряд + лучшие сбалансированные опоры</x:v>
      </x:c>
      <x:c r="C35" s="41"/>
      <x:c r="D35" s="41"/>
      <x:c r="E35" s="41" t="str">
        <x:v>Полный диапазон без транзвука; численные сбои отделены от прямых решений и явно помечены.</x:v>
      </x:c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66"/>
      <x:c r="R35" s="66"/>
      <x:c r="S35" s="66"/>
      <x:c r="T35" s="66"/>
      <x:c r="U35" s="66"/>
      <x:c r="V35" s="66"/>
      <x:c r="W35" s="66"/>
      <x:c r="X35" s="66"/>
    </x:row>
    <x:row r="36">
      <x:c r="A36" s="38" t="str">
        <x:v>Cx0 дозвук</x:v>
      </x:c>
      <x:c r="B36" s="41" t="str">
        <x:v>VSPAERO pressure + полуэмпирика</x:v>
      </x:c>
      <x:c r="C36" s="41"/>
      <x:c r="D36" s="41"/>
      <x:c r="E36" s="41" t="str">
        <x:v>Добавлены трение, профильное и конструктивное сопротивление, отсутствующие в чистом потенциальном расчёте.</x:v>
      </x:c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66"/>
      <x:c r="R36" s="66"/>
      <x:c r="S36" s="66"/>
      <x:c r="T36" s="66"/>
      <x:c r="U36" s="66"/>
      <x:c r="V36" s="66"/>
      <x:c r="W36" s="66"/>
      <x:c r="X36" s="66"/>
    </x:row>
    <x:row r="37">
      <x:c r="A37" s="67" t="str">
        <x:v>Cx0 сверхзвук</x:v>
      </x:c>
      <x:c r="B37" s="68" t="str">
        <x:v>MachLine + фиксированная схема P</x:v>
      </x:c>
      <x:c r="C37" s="68"/>
      <x:c r="D37" s="68"/>
      <x:c r="E37" s="68" t="str">
        <x:v>Одна сетка и одна схема на всём диапазоне, без поточечной подгонки.</x:v>
      </x:c>
      <x:c r="F37" s="68"/>
      <x:c r="G37" s="68"/>
      <x:c r="H37" s="68"/>
      <x:c r="I37" s="68"/>
      <x:c r="J37" s="68"/>
      <x:c r="K37" s="68"/>
      <x:c r="L37" s="68"/>
      <x:c r="M37" s="68"/>
      <x:c r="N37" s="68"/>
      <x:c r="O37" s="68"/>
      <x:c r="P37" s="68"/>
      <x:c r="Q37" s="69"/>
      <x:c r="R37" s="69"/>
      <x:c r="S37" s="69"/>
      <x:c r="T37" s="69"/>
      <x:c r="U37" s="69"/>
      <x:c r="V37" s="69"/>
      <x:c r="W37" s="69"/>
      <x:c r="X37" s="69"/>
    </x:row>
  </x:sheetData>
  <x:mergeCells>
    <x:mergeCell ref="A1:P2"/>
    <x:mergeCell ref="A3:P3"/>
    <x:mergeCell ref="A5:E5"/>
    <x:mergeCell ref="F5:J5"/>
    <x:mergeCell ref="K5:P5"/>
    <x:mergeCell ref="C6:E6"/>
    <x:mergeCell ref="C7:E7"/>
    <x:mergeCell ref="C8:E8"/>
    <x:mergeCell ref="H6:J6"/>
    <x:mergeCell ref="H7:J7"/>
    <x:mergeCell ref="H8:J8"/>
    <x:mergeCell ref="M6:P6"/>
    <x:mergeCell ref="M7:P7"/>
    <x:mergeCell ref="M8:P8"/>
    <x:mergeCell ref="A30:P32"/>
    <x:mergeCell ref="B34:D34"/>
    <x:mergeCell ref="E34:P34"/>
    <x:mergeCell ref="B35:D35"/>
    <x:mergeCell ref="E35:P35"/>
    <x:mergeCell ref="B36:D36"/>
    <x:mergeCell ref="E36:P36"/>
    <x:mergeCell ref="B37:D37"/>
    <x:mergeCell ref="E37:P37"/>
  </x:mergeCells>
  <x:pageMargins left="0.7" right="0.7" top="0.75" bottom="0.75" header="0.3" footer="0.3"/>
  <x:drawing xmlns:r="http://schemas.openxmlformats.org/officeDocument/2006/relationships" r:id="Rf106994a710648e9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3" hidden="0" customWidth="1"/>
    <x:col min="9" max="9" width="3" hidden="0" customWidth="1"/>
    <x:col min="10" max="10" width="12" hidden="0" customWidth="1"/>
    <x:col min="11" max="11" width="12" hidden="0" customWidth="1"/>
    <x:col min="12" max="12" width="12" hidden="0" customWidth="1"/>
    <x:col min="13" max="13" width="3" hidden="0" customWidth="1"/>
    <x:col min="14" max="14" width="13" hidden="0" customWidth="1"/>
    <x:col min="15" max="15" width="13" hidden="0" customWidth="1"/>
    <x:col min="16" max="16" width="3" hidden="0" customWidth="1"/>
  </x:cols>
  <x:sheetData>
    <x:row r="1">
      <x:c r="A1" s="3" t="str">
        <x:v>RepairMach 9.1 — лучший единый сверхзвуковой расчёт Cx0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</x:row>
    <x:row r="3">
      <x:c r="A3" s="6" t="str">
        <x:v>Сравнение с книжной кривой МиГ-29. Одна сетка, один offset и одна схема поправок выбраны по всему диапазону — без подгонки отдельных точек.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</x:row>
    <x:row r="4">
      <x:c r="A4" s="66"/>
      <x:c r="B4" s="66"/>
      <x:c r="C4" s="66"/>
      <x:c r="D4" s="66"/>
      <x:c r="E4" s="66"/>
      <x:c r="F4" s="66"/>
      <x:c r="G4" s="66"/>
      <x:c r="H4" s="66"/>
      <x:c r="I4" s="66"/>
      <x:c r="J4" s="66"/>
      <x:c r="K4" s="66"/>
      <x:c r="L4" s="66"/>
      <x:c r="M4" s="66"/>
      <x:c r="N4" s="66"/>
      <x:c r="O4" s="66"/>
      <x:c r="P4" s="66"/>
    </x:row>
    <x:row r="5">
      <x:c r="A5" s="36" t="str">
        <x:v>Сетка</x:v>
      </x:c>
      <x:c r="B5" s="36" t="str">
        <x:v>Offset</x:v>
      </x:c>
      <x:c r="C5" s="36" t="str">
        <x:v>Правило давления</x:v>
      </x:c>
      <x:c r="D5" s="36" t="str">
        <x:v>Схема</x:v>
      </x:c>
      <x:c r="E5" s="36" t="str">
        <x:v>Точек M</x:v>
      </x:c>
      <x:c r="F5" s="36" t="str">
        <x:v>Средняя |ошибка|</x:v>
      </x:c>
      <x:c r="G5" s="36" t="str">
        <x:v>Макс. |ошибка|</x:v>
      </x:c>
      <x:c r="H5" s="36" t="str">
        <x:v>Смещение</x:v>
      </x:c>
      <x:c r="I5" s="66"/>
      <x:c r="J5" s="66"/>
      <x:c r="K5" s="66"/>
      <x:c r="L5" s="66"/>
      <x:c r="M5" s="66"/>
      <x:c r="N5" s="66"/>
      <x:c r="O5" s="66"/>
      <x:c r="P5" s="66"/>
    </x:row>
    <x:row r="6">
      <x:c r="A6" s="66" t="str">
        <x:v>7k</x:v>
      </x:c>
      <x:c r="B6" s="42" t="n">
        <x:v>0.00001</x:v>
      </x:c>
      <x:c r="C6" s="66" t="str">
        <x:v>isentropic</x:v>
      </x:c>
      <x:c r="D6" s="66" t="str">
        <x:v>P</x:v>
      </x:c>
      <x:c r="E6" s="66" t="n">
        <x:v>11</x:v>
      </x:c>
      <x:c r="F6" s="16" t="n">
        <x:v>0.10839961044894914</x:v>
      </x:c>
      <x:c r="G6" s="16" t="n">
        <x:v>0.23656103169160797</x:v>
      </x:c>
      <x:c r="H6" s="16" t="n">
        <x:v>0.10839961044894914</x:v>
      </x:c>
      <x:c r="I6" s="66"/>
      <x:c r="J6" s="66"/>
      <x:c r="K6" s="66"/>
      <x:c r="L6" s="66"/>
      <x:c r="M6" s="66"/>
      <x:c r="N6" s="66"/>
      <x:c r="O6" s="66"/>
      <x:c r="P6" s="66"/>
    </x:row>
    <x:row r="7">
      <x:c r="A7" s="66"/>
      <x:c r="B7" s="66"/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</x:row>
    <x:row r="8">
      <x:c r="A8" s="66"/>
      <x:c r="B8" s="66"/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</x:row>
    <x:row r="9">
      <x:c r="A9" s="36" t="str">
        <x:v>M</x:v>
      </x:c>
      <x:c r="B9" s="36" t="str">
        <x:v>Книга Cx0</x:v>
      </x:c>
      <x:c r="C9" s="36" t="str">
        <x:v>Расчёт Cx0</x:v>
      </x:c>
      <x:c r="D9" s="36" t="str">
        <x:v>Ошибка</x:v>
      </x:c>
      <x:c r="E9" s="36" t="str">
        <x:v>|Ошибка|</x:v>
      </x:c>
      <x:c r="F9" s="36" t="str">
        <x:v>α при CN=0, °</x:v>
      </x:c>
      <x:c r="G9" s="36" t="str">
        <x:v>Cx давления</x:v>
      </x:c>
      <x:c r="H9" s="36" t="str">
        <x:v>Расчётная ветвь</x:v>
      </x:c>
      <x:c r="I9" s="66"/>
      <x:c r="J9" s="66" t="str">
        <x:v>M</x:v>
      </x:c>
      <x:c r="K9" s="66" t="str">
        <x:v>Книга Cx0</x:v>
      </x:c>
      <x:c r="L9" s="66" t="str">
        <x:v>Расчёт Cx0</x:v>
      </x:c>
      <x:c r="M9" s="66"/>
      <x:c r="N9" s="66" t="str">
        <x:v>M</x:v>
      </x:c>
      <x:c r="O9" s="66" t="str">
        <x:v>|Ошибка|, %</x:v>
      </x:c>
      <x:c r="P9" s="66"/>
    </x:row>
    <x:row r="10">
      <x:c r="A10" s="45" t="n">
        <x:v>1.2</x:v>
      </x:c>
      <x:c r="B10" s="42" t="n">
        <x:v>0.048</x:v>
      </x:c>
      <x:c r="C10" s="42" t="n">
        <x:v>0.05935492952119718</x:v>
      </x:c>
      <x:c r="D10" s="16" t="n">
        <x:f>(C10-B10)/B10</x:f>
        <x:v>0.23656103169160797</x:v>
      </x:c>
      <x:c r="E10" s="46" t="n">
        <x:f>ABS(D10)</x:f>
        <x:v>0.23656103169160797</x:v>
      </x:c>
      <x:c r="F10" s="49" t="n">
        <x:v>1.1475053153162864</x:v>
      </x:c>
      <x:c r="G10" s="42" t="n">
        <x:v>0.05935492952119718</x:v>
      </x:c>
      <x:c r="H10" s="66" t="str">
        <x:v>MachLine + P</x:v>
      </x:c>
      <x:c r="I10" s="66"/>
      <x:c r="J10" s="66" t="n">
        <x:f>A10</x:f>
        <x:v>1.2</x:v>
      </x:c>
      <x:c r="K10" s="66" t="n">
        <x:f>B10</x:f>
        <x:v>0.048</x:v>
      </x:c>
      <x:c r="L10" s="66" t="n">
        <x:f>C10</x:f>
        <x:v>0.05935492952119718</x:v>
      </x:c>
      <x:c r="M10" s="66"/>
      <x:c r="N10" s="66" t="n">
        <x:f>A10</x:f>
        <x:v>1.2</x:v>
      </x:c>
      <x:c r="O10" s="66" t="n">
        <x:f>E10*100</x:f>
        <x:v>23.656103169160797</x:v>
      </x:c>
      <x:c r="P10" s="66"/>
    </x:row>
    <x:row r="11">
      <x:c r="A11" s="45" t="n">
        <x:v>1.25</x:v>
      </x:c>
      <x:c r="B11" s="42" t="n">
        <x:v>0.04775</x:v>
      </x:c>
      <x:c r="C11" s="42" t="n">
        <x:v>0.056733474849869785</x:v>
      </x:c>
      <x:c r="D11" s="16" t="n">
        <x:f>(C11-B11)/B11</x:f>
        <x:v>0.18813559895015253</x:v>
      </x:c>
      <x:c r="E11" s="46" t="n">
        <x:f>ABS(D11)</x:f>
        <x:v>0.18813559895015253</x:v>
      </x:c>
      <x:c r="F11" s="49" t="n">
        <x:v>0.07248686236812696</x:v>
      </x:c>
      <x:c r="G11" s="42" t="n">
        <x:v>0.056733474849869785</x:v>
      </x:c>
      <x:c r="H11" s="66" t="str">
        <x:v>MachLine + P</x:v>
      </x:c>
      <x:c r="I11" s="66"/>
      <x:c r="J11" s="66" t="n">
        <x:f>A11</x:f>
        <x:v>1.25</x:v>
      </x:c>
      <x:c r="K11" s="66" t="n">
        <x:f>B11</x:f>
        <x:v>0.04775</x:v>
      </x:c>
      <x:c r="L11" s="66" t="n">
        <x:f>C11</x:f>
        <x:v>0.056733474849869785</x:v>
      </x:c>
      <x:c r="M11" s="66"/>
      <x:c r="N11" s="66" t="n">
        <x:f>A11</x:f>
        <x:v>1.25</x:v>
      </x:c>
      <x:c r="O11" s="66" t="n">
        <x:f>E11*100</x:f>
        <x:v>18.813559895015253</x:v>
      </x:c>
      <x:c r="P11" s="66"/>
    </x:row>
    <x:row r="12">
      <x:c r="A12" s="45" t="n">
        <x:v>1.3</x:v>
      </x:c>
      <x:c r="B12" s="42" t="n">
        <x:v>0.0475</x:v>
      </x:c>
      <x:c r="C12" s="42" t="n">
        <x:v>0.0528283563210937</x:v>
      </x:c>
      <x:c r="D12" s="16" t="n">
        <x:f>(C12-B12)/B12</x:f>
        <x:v>0.11217592254934104</x:v>
      </x:c>
      <x:c r="E12" s="46" t="n">
        <x:f>ABS(D12)</x:f>
        <x:v>0.11217592254934104</x:v>
      </x:c>
      <x:c r="F12" s="49" t="n">
        <x:v>0.2587836701641619</x:v>
      </x:c>
      <x:c r="G12" s="42" t="n">
        <x:v>0.0528283563210937</x:v>
      </x:c>
      <x:c r="H12" s="66" t="str">
        <x:v>MachLine + P</x:v>
      </x:c>
      <x:c r="I12" s="66"/>
      <x:c r="J12" s="66" t="n">
        <x:f>A12</x:f>
        <x:v>1.3</x:v>
      </x:c>
      <x:c r="K12" s="66" t="n">
        <x:f>B12</x:f>
        <x:v>0.0475</x:v>
      </x:c>
      <x:c r="L12" s="66" t="n">
        <x:f>C12</x:f>
        <x:v>0.0528283563210937</x:v>
      </x:c>
      <x:c r="M12" s="66"/>
      <x:c r="N12" s="66" t="n">
        <x:f>A12</x:f>
        <x:v>1.3</x:v>
      </x:c>
      <x:c r="O12" s="66" t="n">
        <x:f>E12*100</x:f>
        <x:v>11.217592254934104</x:v>
      </x:c>
      <x:c r="P12" s="66"/>
    </x:row>
    <x:row r="13">
      <x:c r="A13" s="45" t="n">
        <x:v>1.35</x:v>
      </x:c>
      <x:c r="B13" s="42" t="n">
        <x:v>0.04725</x:v>
      </x:c>
      <x:c r="C13" s="42" t="n">
        <x:v>0.04988315744174927</x:v>
      </x:c>
      <x:c r="D13" s="16" t="n">
        <x:f>(C13-B13)/B13</x:f>
        <x:v>0.05572819982538144</x:v>
      </x:c>
      <x:c r="E13" s="47" t="n">
        <x:f>ABS(D13)</x:f>
        <x:v>0.05572819982538144</x:v>
      </x:c>
      <x:c r="F13" s="49" t="n">
        <x:v>0.261051179033958</x:v>
      </x:c>
      <x:c r="G13" s="42" t="n">
        <x:v>0.04988315744174927</x:v>
      </x:c>
      <x:c r="H13" s="66" t="str">
        <x:v>MachLine + P</x:v>
      </x:c>
      <x:c r="I13" s="66"/>
      <x:c r="J13" s="66" t="n">
        <x:f>A13</x:f>
        <x:v>1.35</x:v>
      </x:c>
      <x:c r="K13" s="66" t="n">
        <x:f>B13</x:f>
        <x:v>0.04725</x:v>
      </x:c>
      <x:c r="L13" s="66" t="n">
        <x:f>C13</x:f>
        <x:v>0.04988315744174927</x:v>
      </x:c>
      <x:c r="M13" s="66"/>
      <x:c r="N13" s="66" t="n">
        <x:f>A13</x:f>
        <x:v>1.35</x:v>
      </x:c>
      <x:c r="O13" s="66" t="n">
        <x:f>E13*100</x:f>
        <x:v>5.572819982538144</x:v>
      </x:c>
      <x:c r="P13" s="66"/>
    </x:row>
    <x:row r="14">
      <x:c r="A14" s="45" t="n">
        <x:v>1.4</x:v>
      </x:c>
      <x:c r="B14" s="42" t="n">
        <x:v>0.047</x:v>
      </x:c>
      <x:c r="C14" s="42" t="n">
        <x:v>0.04724191868221813</x:v>
      </x:c>
      <x:c r="D14" s="16" t="n">
        <x:f>(C14-B14)/B14</x:f>
        <x:v>0.0051472060046410615</x:v>
      </x:c>
      <x:c r="E14" s="48" t="n">
        <x:f>ABS(D14)</x:f>
        <x:v>0.0051472060046410615</x:v>
      </x:c>
      <x:c r="F14" s="49" t="n">
        <x:v>-0.23651658024356093</x:v>
      </x:c>
      <x:c r="G14" s="42" t="n">
        <x:v>0.04724191868221813</x:v>
      </x:c>
      <x:c r="H14" s="66" t="str">
        <x:v>MachLine + P</x:v>
      </x:c>
      <x:c r="I14" s="66"/>
      <x:c r="J14" s="66" t="n">
        <x:f>A14</x:f>
        <x:v>1.4</x:v>
      </x:c>
      <x:c r="K14" s="66" t="n">
        <x:f>B14</x:f>
        <x:v>0.047</x:v>
      </x:c>
      <x:c r="L14" s="66" t="n">
        <x:f>C14</x:f>
        <x:v>0.04724191868221813</x:v>
      </x:c>
      <x:c r="M14" s="66"/>
      <x:c r="N14" s="66" t="n">
        <x:f>A14</x:f>
        <x:v>1.4</x:v>
      </x:c>
      <x:c r="O14" s="66" t="n">
        <x:f>E14*100</x:f>
        <x:v>0.5147206004641062</x:v>
      </x:c>
      <x:c r="P14" s="66"/>
    </x:row>
    <x:row r="15">
      <x:c r="A15" s="45" t="n">
        <x:v>1.45</x:v>
      </x:c>
      <x:c r="B15" s="42" t="n">
        <x:v>0.0465</x:v>
      </x:c>
      <x:c r="C15" s="42" t="n">
        <x:v>0.050126929599017524</x:v>
      </x:c>
      <x:c r="D15" s="16" t="n">
        <x:f>(C15-B15)/B15</x:f>
        <x:v>0.07799848600037686</x:v>
      </x:c>
      <x:c r="E15" s="47" t="n">
        <x:f>ABS(D15)</x:f>
        <x:v>0.07799848600037686</x:v>
      </x:c>
      <x:c r="F15" s="49" t="n">
        <x:v>-0.6916832915871787</x:v>
      </x:c>
      <x:c r="G15" s="42" t="n">
        <x:v>0.050126929599017524</x:v>
      </x:c>
      <x:c r="H15" s="66" t="str">
        <x:v>MachLine + P</x:v>
      </x:c>
      <x:c r="I15" s="66"/>
      <x:c r="J15" s="66" t="n">
        <x:f>A15</x:f>
        <x:v>1.45</x:v>
      </x:c>
      <x:c r="K15" s="66" t="n">
        <x:f>B15</x:f>
        <x:v>0.0465</x:v>
      </x:c>
      <x:c r="L15" s="66" t="n">
        <x:f>C15</x:f>
        <x:v>0.050126929599017524</x:v>
      </x:c>
      <x:c r="M15" s="66"/>
      <x:c r="N15" s="66" t="n">
        <x:f>A15</x:f>
        <x:v>1.45</x:v>
      </x:c>
      <x:c r="O15" s="66" t="n">
        <x:f>E15*100</x:f>
        <x:v>7.799848600037686</x:v>
      </x:c>
      <x:c r="P15" s="66"/>
    </x:row>
    <x:row r="16">
      <x:c r="A16" s="45" t="n">
        <x:v>1.5</x:v>
      </x:c>
      <x:c r="B16" s="42" t="n">
        <x:v>0.046</x:v>
      </x:c>
      <x:c r="C16" s="42" t="n">
        <x:v>0.05326569496543397</x:v>
      </x:c>
      <x:c r="D16" s="16" t="n">
        <x:f>(C16-B16)/B16</x:f>
        <x:v>0.15794989055291245</x:v>
      </x:c>
      <x:c r="E16" s="46" t="n">
        <x:f>ABS(D16)</x:f>
        <x:v>0.15794989055291245</x:v>
      </x:c>
      <x:c r="F16" s="49" t="n">
        <x:v>-1.1583673382112158</x:v>
      </x:c>
      <x:c r="G16" s="42" t="n">
        <x:v>0.05326569496543397</x:v>
      </x:c>
      <x:c r="H16" s="66" t="str">
        <x:v>MachLine + P</x:v>
      </x:c>
      <x:c r="I16" s="66"/>
      <x:c r="J16" s="66" t="n">
        <x:f>A16</x:f>
        <x:v>1.5</x:v>
      </x:c>
      <x:c r="K16" s="66" t="n">
        <x:f>B16</x:f>
        <x:v>0.046</x:v>
      </x:c>
      <x:c r="L16" s="66" t="n">
        <x:f>C16</x:f>
        <x:v>0.05326569496543397</x:v>
      </x:c>
      <x:c r="M16" s="66"/>
      <x:c r="N16" s="66" t="n">
        <x:f>A16</x:f>
        <x:v>1.5</x:v>
      </x:c>
      <x:c r="O16" s="66" t="n">
        <x:f>E16*100</x:f>
        <x:v>15.794989055291245</x:v>
      </x:c>
      <x:c r="P16" s="66"/>
    </x:row>
    <x:row r="17">
      <x:c r="A17" s="45" t="n">
        <x:v>1.55</x:v>
      </x:c>
      <x:c r="B17" s="42" t="n">
        <x:v>0.0455</x:v>
      </x:c>
      <x:c r="C17" s="42" t="n">
        <x:v>0.051857168594676005</x:v>
      </x:c>
      <x:c r="D17" s="16" t="n">
        <x:f>(C17-B17)/B17</x:f>
        <x:v>0.13971799109178035</x:v>
      </x:c>
      <x:c r="E17" s="46" t="n">
        <x:f>ABS(D17)</x:f>
        <x:v>0.13971799109178035</x:v>
      </x:c>
      <x:c r="F17" s="49" t="n">
        <x:v>-0.6214382528359319</x:v>
      </x:c>
      <x:c r="G17" s="42" t="n">
        <x:v>0.051857168594676005</x:v>
      </x:c>
      <x:c r="H17" s="66" t="str">
        <x:v>MachLine + P</x:v>
      </x:c>
      <x:c r="I17" s="66"/>
      <x:c r="J17" s="66" t="n">
        <x:f>A17</x:f>
        <x:v>1.55</x:v>
      </x:c>
      <x:c r="K17" s="66" t="n">
        <x:f>B17</x:f>
        <x:v>0.0455</x:v>
      </x:c>
      <x:c r="L17" s="66" t="n">
        <x:f>C17</x:f>
        <x:v>0.051857168594676005</x:v>
      </x:c>
      <x:c r="M17" s="66"/>
      <x:c r="N17" s="66" t="n">
        <x:f>A17</x:f>
        <x:v>1.55</x:v>
      </x:c>
      <x:c r="O17" s="66" t="n">
        <x:f>E17*100</x:f>
        <x:v>13.971799109178034</x:v>
      </x:c>
      <x:c r="P17" s="66"/>
    </x:row>
    <x:row r="18">
      <x:c r="A18" s="45" t="n">
        <x:v>1.6</x:v>
      </x:c>
      <x:c r="B18" s="42" t="n">
        <x:v>0.045</x:v>
      </x:c>
      <x:c r="C18" s="42" t="n">
        <x:v>0.05019295439669532</x:v>
      </x:c>
      <x:c r="D18" s="16" t="n">
        <x:f>(C18-B18)/B18</x:f>
        <x:v>0.11539898659322938</x:v>
      </x:c>
      <x:c r="E18" s="46" t="n">
        <x:f>ABS(D18)</x:f>
        <x:v>0.11539898659322938</x:v>
      </x:c>
      <x:c r="F18" s="49"/>
      <x:c r="G18" s="42" t="n">
        <x:v>0.04968157874224987</x:v>
      </x:c>
      <x:c r="H18" s="66" t="str">
        <x:v>Переход MachLine/VSPAERO, wML=0.667</x:v>
      </x:c>
      <x:c r="I18" s="66"/>
      <x:c r="J18" s="66" t="n">
        <x:f>A18</x:f>
        <x:v>1.6</x:v>
      </x:c>
      <x:c r="K18" s="66" t="n">
        <x:f>B18</x:f>
        <x:v>0.045</x:v>
      </x:c>
      <x:c r="L18" s="66" t="n">
        <x:f>C18</x:f>
        <x:v>0.05019295439669532</x:v>
      </x:c>
      <x:c r="M18" s="66"/>
      <x:c r="N18" s="66" t="n">
        <x:f>A18</x:f>
        <x:v>1.6</x:v>
      </x:c>
      <x:c r="O18" s="66" t="n">
        <x:f>E18*100</x:f>
        <x:v>11.539898659322938</x:v>
      </x:c>
      <x:c r="P18" s="66"/>
    </x:row>
    <x:row r="19">
      <x:c r="A19" s="45" t="n">
        <x:v>1.65</x:v>
      </x:c>
      <x:c r="B19" s="42" t="n">
        <x:v>0.0445</x:v>
      </x:c>
      <x:c r="C19" s="42" t="n">
        <x:v>0.04793088205396373</x:v>
      </x:c>
      <x:c r="D19" s="16" t="n">
        <x:f>(C19-B19)/B19</x:f>
        <x:v>0.07709847312278051</x:v>
      </x:c>
      <x:c r="E19" s="47" t="n">
        <x:f>ABS(D19)</x:f>
        <x:v>0.07709847312278051</x:v>
      </x:c>
      <x:c r="F19" s="49"/>
      <x:c r="G19" s="42" t="n">
        <x:v>0.04737626515436555</x:v>
      </x:c>
      <x:c r="H19" s="66" t="str">
        <x:v>Переход MachLine/VSPAERO, wML=0.333</x:v>
      </x:c>
      <x:c r="I19" s="66"/>
      <x:c r="J19" s="66" t="n">
        <x:f>A19</x:f>
        <x:v>1.65</x:v>
      </x:c>
      <x:c r="K19" s="66" t="n">
        <x:f>B19</x:f>
        <x:v>0.0445</x:v>
      </x:c>
      <x:c r="L19" s="66" t="n">
        <x:f>C19</x:f>
        <x:v>0.04793088205396373</x:v>
      </x:c>
      <x:c r="M19" s="66"/>
      <x:c r="N19" s="66" t="n">
        <x:f>A19</x:f>
        <x:v>1.65</x:v>
      </x:c>
      <x:c r="O19" s="66" t="n">
        <x:f>E19*100</x:f>
        <x:v>7.70984731227805</x:v>
      </x:c>
      <x:c r="P19" s="66"/>
    </x:row>
    <x:row r="20">
      <x:c r="A20" s="45" t="n">
        <x:v>1.7</x:v>
      </x:c>
      <x:c r="B20" s="42" t="n">
        <x:v>0.044</x:v>
      </x:c>
      <x:c r="C20" s="42" t="n">
        <x:v>0.045165292856474415</x:v>
      </x:c>
      <x:c r="D20" s="16" t="n">
        <x:f>(C20-B20)/B20</x:f>
        <x:v>0.026483928556236762</x:v>
      </x:c>
      <x:c r="E20" s="48" t="n">
        <x:f>ABS(D20)</x:f>
        <x:v>0.026483928556236762</x:v>
      </x:c>
      <x:c r="F20" s="49"/>
      <x:c r="G20" s="42" t="n">
        <x:v>0.045165292856474415</x:v>
      </x:c>
      <x:c r="H20" s="66" t="str">
        <x:v>Переход MachLine/VSPAERO, wML=0.000</x:v>
      </x:c>
      <x:c r="I20" s="66"/>
      <x:c r="J20" s="66" t="n">
        <x:f>A20</x:f>
        <x:v>1.7</x:v>
      </x:c>
      <x:c r="K20" s="66" t="n">
        <x:f>B20</x:f>
        <x:v>0.044</x:v>
      </x:c>
      <x:c r="L20" s="66" t="n">
        <x:f>C20</x:f>
        <x:v>0.045165292856474415</x:v>
      </x:c>
      <x:c r="M20" s="66"/>
      <x:c r="N20" s="66" t="n">
        <x:f>A20</x:f>
        <x:v>1.7</x:v>
      </x:c>
      <x:c r="O20" s="66" t="n">
        <x:f>E20*100</x:f>
        <x:v>2.648392855623676</x:v>
      </x:c>
      <x:c r="P20" s="66"/>
    </x:row>
    <x:row r="21">
      <x:c r="A21" s="66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</x:row>
    <x:row r="22">
      <x:c r="A22" s="66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</x:row>
    <x:row r="23">
      <x:c r="A23" s="66"/>
      <x:c r="B23" s="66"/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</x:row>
    <x:row r="24">
      <x:c r="A24" s="66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</x:row>
    <x:row r="25">
      <x:c r="A25" s="66"/>
      <x:c r="B25" s="66"/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</x:row>
    <x:row r="26">
      <x:c r="A26" s="66"/>
      <x:c r="B26" s="66"/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</x:row>
    <x:row r="27">
      <x:c r="A27" s="66"/>
      <x:c r="B27" s="66"/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</x:row>
    <x:row r="28">
      <x:c r="A28" s="66"/>
      <x:c r="B28" s="66"/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</x:row>
    <x:row r="29">
      <x:c r="A29" s="66"/>
      <x:c r="B29" s="66"/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</x:row>
    <x:row r="30">
      <x:c r="A30" s="66"/>
      <x:c r="B30" s="66"/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</x:row>
    <x:row r="31">
      <x:c r="A31" s="66"/>
      <x:c r="B31" s="66"/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</x:row>
    <x:row r="32">
      <x:c r="A32" s="66"/>
      <x:c r="B32" s="66"/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</x:row>
    <x:row r="33">
      <x:c r="A33" s="66"/>
      <x:c r="B33" s="66"/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</x:row>
    <x:row r="34">
      <x:c r="A34" s="66"/>
      <x:c r="B34" s="66"/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</x:row>
    <x:row r="35">
      <x:c r="A35" s="66"/>
      <x:c r="B35" s="66"/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</x:row>
    <x:row r="36">
      <x:c r="A36" s="66"/>
      <x:c r="B36" s="66"/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</x:row>
    <x:row r="37">
      <x:c r="A37" s="66"/>
      <x:c r="B37" s="66"/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</x:row>
    <x:row r="38">
      <x:c r="A38" s="66"/>
      <x:c r="B38" s="66"/>
      <x:c r="C38" s="66"/>
      <x:c r="D38" s="66"/>
      <x:c r="E38" s="66"/>
      <x:c r="F38" s="66"/>
      <x:c r="G38" s="66"/>
      <x:c r="H38" s="66"/>
      <x:c r="I38" s="66"/>
      <x:c r="J38" s="66"/>
      <x:c r="K38" s="66"/>
      <x:c r="L38" s="66"/>
      <x:c r="M38" s="66"/>
      <x:c r="N38" s="66"/>
      <x:c r="O38" s="66"/>
      <x:c r="P38" s="66"/>
    </x:row>
    <x:row r="39">
      <x:c r="A39" s="66"/>
      <x:c r="B39" s="66"/>
      <x:c r="C39" s="66"/>
      <x:c r="D39" s="66"/>
      <x:c r="E39" s="66"/>
      <x:c r="F39" s="66"/>
      <x:c r="G39" s="66"/>
      <x:c r="H39" s="66"/>
      <x:c r="I39" s="66"/>
      <x:c r="J39" s="66"/>
      <x:c r="K39" s="66"/>
      <x:c r="L39" s="66"/>
      <x:c r="M39" s="66"/>
      <x:c r="N39" s="66"/>
      <x:c r="O39" s="66"/>
      <x:c r="P39" s="66"/>
    </x:row>
    <x:row r="40">
      <x:c r="A40" s="66"/>
      <x:c r="B40" s="66"/>
      <x:c r="C40" s="66"/>
      <x:c r="D40" s="66"/>
      <x:c r="E40" s="66"/>
      <x:c r="F40" s="66"/>
      <x:c r="G40" s="66"/>
      <x:c r="H40" s="66"/>
      <x:c r="I40" s="66"/>
      <x:c r="J40" s="66"/>
      <x:c r="K40" s="66"/>
      <x:c r="L40" s="66"/>
      <x:c r="M40" s="66"/>
      <x:c r="N40" s="66"/>
      <x:c r="O40" s="66"/>
      <x:c r="P40" s="66"/>
    </x:row>
    <x:row r="41">
      <x:c r="A41" s="66"/>
      <x:c r="B41" s="66"/>
      <x:c r="C41" s="66"/>
      <x:c r="D41" s="66"/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</x:row>
    <x:row r="42">
      <x:c r="A42" s="66"/>
      <x:c r="B42" s="66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</x:row>
    <x:row r="43">
      <x:c r="A43" s="66"/>
      <x:c r="B43" s="66"/>
      <x:c r="C43" s="66"/>
      <x:c r="D43" s="66"/>
      <x:c r="E43" s="66"/>
      <x:c r="F43" s="66"/>
      <x:c r="G43" s="66"/>
      <x:c r="H43" s="66"/>
      <x:c r="I43" s="66"/>
      <x:c r="J43" s="66"/>
      <x:c r="K43" s="66"/>
      <x:c r="L43" s="66"/>
      <x:c r="M43" s="66"/>
      <x:c r="N43" s="66"/>
      <x:c r="O43" s="66"/>
      <x:c r="P43" s="66"/>
    </x:row>
    <x:row r="44">
      <x:c r="A44" s="52" t="str">
        <x:v>Граница применимости: MachLine используется до последней геометрически допустимой точки. M=1,60…1,70 закрыты фиксированным плавным переходом к VSPAERO при CL=0; книжные значения в формулу перехода не подставляются.</x:v>
      </x:c>
      <x:c r="B44" s="52"/>
      <x:c r="C44" s="52"/>
      <x:c r="D44" s="52"/>
      <x:c r="E44" s="52"/>
      <x:c r="F44" s="52"/>
      <x:c r="G44" s="52"/>
      <x:c r="H44" s="52"/>
      <x:c r="I44" s="52"/>
      <x:c r="J44" s="52"/>
      <x:c r="K44" s="52"/>
      <x:c r="L44" s="52"/>
      <x:c r="M44" s="52"/>
      <x:c r="N44" s="52"/>
      <x:c r="O44" s="52"/>
      <x:c r="P44" s="52"/>
    </x:row>
    <x:row r="45">
      <x:c r="A45" s="52"/>
      <x:c r="B45" s="52"/>
      <x:c r="C45" s="52"/>
      <x:c r="D45" s="52"/>
      <x:c r="E45" s="52"/>
      <x:c r="F45" s="52"/>
      <x:c r="G45" s="52"/>
      <x:c r="H45" s="52"/>
      <x:c r="I45" s="52"/>
      <x:c r="J45" s="52"/>
      <x:c r="K45" s="52"/>
      <x:c r="L45" s="52"/>
      <x:c r="M45" s="52"/>
      <x:c r="N45" s="52"/>
      <x:c r="O45" s="52"/>
      <x:c r="P45" s="52"/>
    </x:row>
    <x:row r="46">
      <x:c r="A46" s="70"/>
      <x:c r="B46" s="70"/>
      <x:c r="C46" s="70"/>
      <x:c r="D46" s="70"/>
      <x:c r="E46" s="70"/>
      <x:c r="F46" s="70"/>
      <x:c r="G46" s="70"/>
      <x:c r="H46" s="70"/>
      <x:c r="I46" s="70"/>
      <x:c r="J46" s="70"/>
      <x:c r="K46" s="70"/>
      <x:c r="L46" s="70"/>
      <x:c r="M46" s="70"/>
      <x:c r="N46" s="70"/>
      <x:c r="O46" s="70"/>
      <x:c r="P46" s="70"/>
    </x:row>
  </x:sheetData>
  <x:mergeCells>
    <x:mergeCell ref="A1:P2"/>
    <x:mergeCell ref="A3:P3"/>
    <x:mergeCell ref="A44:P46"/>
  </x:mergeCells>
  <x:pageMargins left="0.7" right="0.7" top="0.75" bottom="0.75" header="0.3" footer="0.3"/>
  <x:drawing xmlns:r="http://schemas.openxmlformats.org/officeDocument/2006/relationships" r:id="R01b359eb6b8a4947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14" hidden="0" customWidth="1"/>
    <x:col min="4" max="4" width="14" hidden="0" customWidth="1"/>
    <x:col min="5" max="5" width="12" hidden="0" customWidth="1"/>
    <x:col min="6" max="6" width="14" hidden="0" customWidth="1"/>
    <x:col min="7" max="7" width="14" hidden="0" customWidth="1"/>
    <x:col min="8" max="8" width="12" hidden="0" customWidth="1"/>
    <x:col min="9" max="9" width="13" hidden="0" customWidth="1"/>
    <x:col min="10" max="10" width="25" hidden="0" customWidth="1"/>
    <x:col min="11" max="11" width="3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>
      <x:c r="A1" s="3" t="str">
        <x:v>Лучший расчёт коэффициента подъёмной силы Cy(α)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66"/>
      <x:c r="R1" s="66"/>
      <x:c r="S1" s="66"/>
      <x:c r="T1" s="66"/>
      <x:c r="U1" s="66"/>
      <x:c r="V1" s="66"/>
      <x:c r="W1" s="66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66"/>
      <x:c r="R2" s="66"/>
      <x:c r="S2" s="66"/>
      <x:c r="T2" s="66"/>
      <x:c r="U2" s="66"/>
      <x:c r="V2" s="66"/>
      <x:c r="W2" s="66"/>
    </x:row>
    <x:row r="3">
      <x:c r="A3" s="6" t="str">
        <x:v>Смешанная модель VSPAERO: Fuselage/Gondola — толстые тела, Wing/GO/VO — несущие поверхности; поточечная балансировка по CMy≈0. Книжные точки оцифрованы приближённо.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6"/>
      <x:c r="R3" s="66"/>
      <x:c r="S3" s="66"/>
      <x:c r="T3" s="66"/>
      <x:c r="U3" s="66"/>
      <x:c r="V3" s="66"/>
      <x:c r="W3" s="66"/>
    </x:row>
    <x:row r="4">
      <x:c r="A4" s="66"/>
      <x:c r="B4" s="66"/>
      <x:c r="C4" s="66"/>
      <x:c r="D4" s="66"/>
      <x:c r="E4" s="66"/>
      <x:c r="F4" s="66"/>
      <x:c r="G4" s="66"/>
      <x:c r="H4" s="66"/>
      <x:c r="I4" s="66"/>
      <x:c r="J4" s="66"/>
      <x:c r="K4" s="66"/>
      <x:c r="L4" s="66"/>
      <x:c r="M4" s="66"/>
      <x:c r="N4" s="66"/>
      <x:c r="O4" s="66"/>
      <x:c r="P4" s="66"/>
      <x:c r="Q4" s="66"/>
      <x:c r="R4" s="66"/>
      <x:c r="S4" s="66"/>
      <x:c r="T4" s="66"/>
      <x:c r="U4" s="66"/>
      <x:c r="V4" s="66"/>
      <x:c r="W4" s="66"/>
    </x:row>
    <x:row r="5">
      <x:c r="A5" s="36" t="str">
        <x:v>M</x:v>
      </x:c>
      <x:c r="B5" s="36" t="str">
        <x:v>dCy/dα расчёт, 1/°</x:v>
      </x:c>
      <x:c r="C5" s="36" t="str">
        <x:v>Книга, 1/°</x:v>
      </x:c>
      <x:c r="D5" s="36" t="str">
        <x:v>Ошибка наклона</x:v>
      </x:c>
      <x:c r="E5" s="36" t="str">
        <x:v>Макс. ошибка точек</x:v>
      </x:c>
      <x:c r="F5" s="36" t="str">
        <x:v>R²</x:v>
      </x:c>
      <x:c r="G5" s="36" t="str">
        <x:v>Макс. |CMy|</x:v>
      </x:c>
      <x:c r="H5" s="66"/>
      <x:c r="I5" s="66"/>
      <x:c r="J5" s="66"/>
      <x:c r="K5" s="66"/>
      <x:c r="L5" s="66"/>
      <x:c r="M5" s="66"/>
      <x:c r="N5" s="66"/>
      <x:c r="O5" s="66"/>
      <x:c r="P5" s="66"/>
      <x:c r="Q5" s="66"/>
      <x:c r="R5" s="66"/>
      <x:c r="S5" s="66"/>
      <x:c r="T5" s="66"/>
      <x:c r="U5" s="66"/>
      <x:c r="V5" s="66"/>
      <x:c r="W5" s="66"/>
    </x:row>
    <x:row r="6">
      <x:c r="A6" s="53" t="n">
        <x:v>0.8</x:v>
      </x:c>
      <x:c r="B6" s="42" t="n">
        <x:v>0.058473740367982134</x:v>
      </x:c>
      <x:c r="C6" s="42" t="n">
        <x:v>0.0575</x:v>
      </x:c>
      <x:c r="D6" s="48" t="n">
        <x:v>0.01693461509534142</x:v>
      </x:c>
      <x:c r="E6" s="48" t="n">
        <x:v>0.02891824354901951</x:v>
      </x:c>
      <x:c r="F6" s="54" t="n">
        <x:v>0.9998769897136436</x:v>
      </x:c>
      <x:c r="G6" s="55" t="n">
        <x:v>0.000015866964</x:v>
      </x:c>
      <x:c r="H6" s="66"/>
      <x:c r="I6" s="66"/>
      <x:c r="J6" s="66"/>
      <x:c r="K6" s="66"/>
      <x:c r="L6" s="66"/>
      <x:c r="M6" s="66"/>
      <x:c r="N6" s="66"/>
      <x:c r="O6" s="66"/>
      <x:c r="P6" s="66"/>
      <x:c r="Q6" s="66"/>
      <x:c r="R6" s="66"/>
      <x:c r="S6" s="66"/>
      <x:c r="T6" s="66"/>
      <x:c r="U6" s="66"/>
      <x:c r="V6" s="66"/>
      <x:c r="W6" s="66"/>
    </x:row>
    <x:row r="7">
      <x:c r="A7" s="53" t="n">
        <x:v>1.2</x:v>
      </x:c>
      <x:c r="B7" s="42" t="n">
        <x:v>0.0681297639507143</x:v>
      </x:c>
      <x:c r="C7" s="42" t="n">
        <x:v>0.0792</x:v>
      </x:c>
      <x:c r="D7" s="47" t="n">
        <x:v>0.13977570769300138</x:v>
      </x:c>
      <x:c r="E7" s="47" t="n">
        <x:v>0.13523419050979618</x:v>
      </x:c>
      <x:c r="F7" s="54" t="n">
        <x:v>0.9995304538398035</x:v>
      </x:c>
      <x:c r="G7" s="55" t="n">
        <x:v>0.000402017178</x:v>
      </x:c>
      <x:c r="H7" s="66"/>
      <x:c r="I7" s="66"/>
      <x:c r="J7" s="66"/>
      <x:c r="K7" s="66"/>
      <x:c r="L7" s="66"/>
      <x:c r="M7" s="66"/>
      <x:c r="N7" s="66"/>
      <x:c r="O7" s="66"/>
      <x:c r="P7" s="66"/>
      <x:c r="Q7" s="66"/>
      <x:c r="R7" s="66"/>
      <x:c r="S7" s="66"/>
      <x:c r="T7" s="66"/>
      <x:c r="U7" s="66"/>
      <x:c r="V7" s="66"/>
      <x:c r="W7" s="66"/>
    </x:row>
    <x:row r="8">
      <x:c r="A8" s="53" t="n">
        <x:v>1.7</x:v>
      </x:c>
      <x:c r="B8" s="42" t="n">
        <x:v>0.04141127664046473</x:v>
      </x:c>
      <x:c r="C8" s="42" t="n">
        <x:v>0.043</x:v>
      </x:c>
      <x:c r="D8" s="48" t="n">
        <x:v>0.036947054872913256</x:v>
      </x:c>
      <x:c r="E8" s="48" t="n">
        <x:v>0.033683180767532364</x:v>
      </x:c>
      <x:c r="F8" s="54" t="n">
        <x:v>1</x:v>
      </x:c>
      <x:c r="G8" s="55" t="n">
        <x:v>0</x:v>
      </x:c>
      <x:c r="H8" s="66"/>
      <x:c r="I8" s="66"/>
      <x:c r="J8" s="66"/>
      <x:c r="K8" s="66"/>
      <x:c r="L8" s="66"/>
      <x:c r="M8" s="66"/>
      <x:c r="N8" s="66"/>
      <x:c r="O8" s="66"/>
      <x:c r="P8" s="66"/>
      <x:c r="Q8" s="66"/>
      <x:c r="R8" s="66"/>
      <x:c r="S8" s="66"/>
      <x:c r="T8" s="66"/>
      <x:c r="U8" s="66"/>
      <x:c r="V8" s="66"/>
      <x:c r="W8" s="66"/>
    </x:row>
    <x:row r="9">
      <x:c r="A9" s="66"/>
      <x:c r="B9" s="66"/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  <x:c r="R9" s="66"/>
      <x:c r="S9" s="66"/>
      <x:c r="T9" s="66"/>
      <x:c r="U9" s="66"/>
      <x:c r="V9" s="66"/>
      <x:c r="W9" s="66"/>
    </x:row>
    <x:row r="10">
      <x:c r="A10" s="66"/>
      <x:c r="B10" s="66"/>
      <x:c r="C10" s="66"/>
      <x:c r="D10" s="66"/>
      <x:c r="E10" s="66"/>
      <x:c r="F10" s="66"/>
      <x:c r="G10" s="66"/>
      <x:c r="H10" s="66"/>
      <x:c r="I10" s="66"/>
      <x:c r="J10" s="66"/>
      <x:c r="K10" s="66"/>
      <x:c r="L10" s="66"/>
      <x:c r="M10" s="66"/>
      <x:c r="N10" s="66"/>
      <x:c r="O10" s="66"/>
      <x:c r="P10" s="66"/>
      <x:c r="Q10" s="66"/>
      <x:c r="R10" s="66"/>
      <x:c r="S10" s="66"/>
      <x:c r="T10" s="66"/>
      <x:c r="U10" s="66"/>
      <x:c r="V10" s="66"/>
      <x:c r="W10" s="66"/>
    </x:row>
    <x:row r="11">
      <x:c r="A11" s="36" t="str">
        <x:v>M</x:v>
      </x:c>
      <x:c r="B11" s="36" t="str">
        <x:v>α, °</x:v>
      </x:c>
      <x:c r="C11" s="36" t="str">
        <x:v>Cy расчёт</x:v>
      </x:c>
      <x:c r="D11" s="36" t="str">
        <x:v>Cy книга</x:v>
      </x:c>
      <x:c r="E11" s="36" t="str">
        <x:v>Ошибка Cy</x:v>
      </x:c>
      <x:c r="F11" s="36" t="str">
        <x:v>ΔCy расчёт</x:v>
      </x:c>
      <x:c r="G11" s="36" t="str">
        <x:v>ΔCy книга</x:v>
      </x:c>
      <x:c r="H11" s="36" t="str">
        <x:v>Ошибка ΔCy</x:v>
      </x:c>
      <x:c r="I11" s="36" t="str">
        <x:v>CMy</x:v>
      </x:c>
      <x:c r="J11" s="36" t="str">
        <x:v>Источник</x:v>
      </x:c>
      <x:c r="K11" s="66"/>
      <x:c r="L11" s="66" t="str">
        <x:v>α, °</x:v>
      </x:c>
      <x:c r="M11" s="66" t="str">
        <x:v>Расчёт M=0,8</x:v>
      </x:c>
      <x:c r="N11" s="66" t="str">
        <x:v>Книга M=0,8</x:v>
      </x:c>
      <x:c r="O11" s="66" t="str">
        <x:v>Расчёт M=1,2</x:v>
      </x:c>
      <x:c r="P11" s="66" t="str">
        <x:v>Книга M=1,2</x:v>
      </x:c>
      <x:c r="Q11" s="66" t="str">
        <x:v>Расчёт M=1,7</x:v>
      </x:c>
      <x:c r="R11" s="66" t="str">
        <x:v>Книга M=1,7</x:v>
      </x:c>
      <x:c r="S11" s="66"/>
      <x:c r="T11" s="66" t="str">
        <x:v>α, °</x:v>
      </x:c>
      <x:c r="U11" s="66" t="str">
        <x:v>Ошибка M=0,8, %</x:v>
      </x:c>
      <x:c r="V11" s="66" t="str">
        <x:v>Ошибка M=1,2, %</x:v>
      </x:c>
      <x:c r="W11" s="66" t="str">
        <x:v>Ошибка M=1,7, %</x:v>
      </x:c>
    </x:row>
    <x:row r="12">
      <x:c r="A12" s="53" t="n">
        <x:v>0.8</x:v>
      </x:c>
      <x:c r="B12" s="53" t="n">
        <x:v>0</x:v>
      </x:c>
      <x:c r="C12" s="42" t="n">
        <x:v>0.05</x:v>
      </x:c>
      <x:c r="D12" s="42" t="n">
        <x:v>0.05</x:v>
      </x:c>
      <x:c r="E12" s="48" t="n">
        <x:f>IF(D12=0,"",(C12-D12)/D12)</x:f>
        <x:v>0</x:v>
      </x:c>
      <x:c r="F12" s="42" t="n">
        <x:f>C12-C12</x:f>
        <x:v>0</x:v>
      </x:c>
      <x:c r="G12" s="42" t="n">
        <x:f>D12-D12</x:f>
        <x:v>0</x:v>
      </x:c>
      <x:c r="H12" s="16" t="str">
        <x:f>IF(B12=0,"",(F12-G12)/G12)</x:f>
      </x:c>
      <x:c r="I12" s="55" t="n">
        <x:v>6.8286e-8</x:v>
      </x:c>
      <x:c r="J12" s="66" t="str">
        <x:v>BAL3</x:v>
      </x:c>
      <x:c r="K12" s="66"/>
      <x:c r="L12" s="66" t="n">
        <x:v>0</x:v>
      </x:c>
      <x:c r="M12" s="66" t="n">
        <x:v>0.05</x:v>
      </x:c>
      <x:c r="N12" s="66" t="n">
        <x:v>0.05</x:v>
      </x:c>
      <x:c r="O12" s="66" t="n">
        <x:v>0.05</x:v>
      </x:c>
      <x:c r="P12" s="66" t="n">
        <x:v>0.05</x:v>
      </x:c>
      <x:c r="Q12" s="66" t="n">
        <x:v>0.05</x:v>
      </x:c>
      <x:c r="R12" s="66" t="n">
        <x:v>0.05</x:v>
      </x:c>
      <x:c r="S12" s="66"/>
      <x:c r="T12" s="66" t="n">
        <x:v>0</x:v>
      </x:c>
      <x:c r="U12" s="66" t="n">
        <x:v>0</x:v>
      </x:c>
      <x:c r="V12" s="66" t="n">
        <x:v>0</x:v>
      </x:c>
      <x:c r="W12" s="66" t="n">
        <x:v>0</x:v>
      </x:c>
    </x:row>
    <x:row r="13">
      <x:c r="A13" s="53" t="n">
        <x:v>0.8</x:v>
      </x:c>
      <x:c r="B13" s="53" t="n">
        <x:v>2</x:v>
      </x:c>
      <x:c r="C13" s="42" t="n">
        <x:v>0.169432767238</x:v>
      </x:c>
      <x:c r="D13" s="42" t="n">
        <x:v>0.165</x:v>
      </x:c>
      <x:c r="E13" s="48" t="n">
        <x:f>IF(D13=0,"",(C13-D13)/D13)</x:f>
        <x:v>0.026865255987878697</x:v>
      </x:c>
      <x:c r="F13" s="42" t="n">
        <x:f>C13-C12</x:f>
        <x:v>0.11943276723799999</x:v>
      </x:c>
      <x:c r="G13" s="42" t="n">
        <x:f>D13-D12</x:f>
        <x:v>0.115</x:v>
      </x:c>
      <x:c r="H13" s="48" t="n">
        <x:f>IF(B13=0,"",(F13-G13)/G13)</x:f>
        <x:v>0.03854580206956509</x:v>
      </x:c>
      <x:c r="I13" s="55" t="n">
        <x:v>-1.51e-10</x:v>
      </x:c>
      <x:c r="J13" s="66" t="str">
        <x:v>BAL3</x:v>
      </x:c>
      <x:c r="K13" s="66"/>
      <x:c r="L13" s="66" t="n">
        <x:v>2</x:v>
      </x:c>
      <x:c r="M13" s="66" t="n">
        <x:v>0.169432767238</x:v>
      </x:c>
      <x:c r="N13" s="66" t="n">
        <x:v>0.165</x:v>
      </x:c>
      <x:c r="O13" s="66" t="n">
        <x:v>0.19192140601399998</x:v>
      </x:c>
      <x:c r="P13" s="66" t="n">
        <x:v>0.20840000000000003</x:v>
      </x:c>
      <x:c r="Q13" s="66" t="n">
        <x:v>0.13282255328092946</x:v>
      </x:c>
      <x:c r="R13" s="66" t="n">
        <x:v>0.136</x:v>
      </x:c>
      <x:c r="S13" s="66"/>
      <x:c r="T13" s="66" t="n">
        <x:v>2</x:v>
      </x:c>
      <x:c r="U13" s="66" t="n">
        <x:v>2.6865255987878696</x:v>
      </x:c>
      <x:c r="V13" s="66" t="n">
        <x:v>-7.90719481094052</x:v>
      </x:c>
      <x:c r="W13" s="66" t="n">
        <x:v>-2.3363578816695245</x:v>
      </x:c>
    </x:row>
    <x:row r="14">
      <x:c r="A14" s="53" t="n">
        <x:v>0.8</x:v>
      </x:c>
      <x:c r="B14" s="53" t="n">
        <x:v>4</x:v>
      </x:c>
      <x:c r="C14" s="42" t="n">
        <x:v>0.287386351034</x:v>
      </x:c>
      <x:c r="D14" s="42" t="n">
        <x:v>0.28</x:v>
      </x:c>
      <x:c r="E14" s="48" t="n">
        <x:f>IF(D14=0,"",(C14-D14)/D14)</x:f>
        <x:v>0.02637982512142851</x:v>
      </x:c>
      <x:c r="F14" s="42" t="n">
        <x:f>C14-C12</x:f>
        <x:v>0.23738635103400002</x:v>
      </x:c>
      <x:c r="G14" s="42" t="n">
        <x:f>D14-D12</x:f>
        <x:v>0.23000000000000004</x:v>
      </x:c>
      <x:c r="H14" s="48" t="n">
        <x:f>IF(B14=0,"",(F14-G14)/G14)</x:f>
        <x:v>0.0321145697130434</x:v>
      </x:c>
      <x:c r="I14" s="55" t="n">
        <x:v>-5.46468e-7</x:v>
      </x:c>
      <x:c r="J14" s="66" t="str">
        <x:v>BAL3</x:v>
      </x:c>
      <x:c r="K14" s="66"/>
      <x:c r="L14" s="66" t="n">
        <x:v>4</x:v>
      </x:c>
      <x:c r="M14" s="66" t="n">
        <x:v>0.287386351034</x:v>
      </x:c>
      <x:c r="N14" s="66" t="n">
        <x:v>0.28</x:v>
      </x:c>
      <x:c r="O14" s="66" t="n">
        <x:v>0.333712855867</x:v>
      </x:c>
      <x:c r="P14" s="66" t="n">
        <x:v>0.3668</x:v>
      </x:c>
      <x:c r="Q14" s="66" t="n">
        <x:v>0.21564510656185892</x:v>
      </x:c>
      <x:c r="R14" s="66" t="n">
        <x:v>0.22199999999999998</x:v>
      </x:c>
      <x:c r="S14" s="66"/>
      <x:c r="T14" s="66" t="n">
        <x:v>4</x:v>
      </x:c>
      <x:c r="U14" s="66" t="n">
        <x:v>2.637982512142851</x:v>
      </x:c>
      <x:c r="V14" s="66" t="n">
        <x:v>-9.020486404852784</x:v>
      </x:c>
      <x:c r="W14" s="66" t="n">
        <x:v>-2.8625646117752486</x:v>
      </x:c>
    </x:row>
    <x:row r="15">
      <x:c r="A15" s="53" t="n">
        <x:v>0.8</x:v>
      </x:c>
      <x:c r="B15" s="53" t="n">
        <x:v>6</x:v>
      </x:c>
      <x:c r="C15" s="42" t="n">
        <x:v>0.40357575477400004</x:v>
      </x:c>
      <x:c r="D15" s="42" t="n">
        <x:v>0.395</x:v>
      </x:c>
      <x:c r="E15" s="48" t="n">
        <x:f>IF(D15=0,"",(C15-D15)/D15)</x:f>
        <x:v>0.02171077157974689</x:v>
      </x:c>
      <x:c r="F15" s="42" t="n">
        <x:f>C15-C12</x:f>
        <x:v>0.35357575477400005</x:v>
      </x:c>
      <x:c r="G15" s="42" t="n">
        <x:f>D15-D12</x:f>
        <x:v>0.34500000000000003</x:v>
      </x:c>
      <x:c r="H15" s="48" t="n">
        <x:f>IF(B15=0,"",(F15-G15)/G15)</x:f>
        <x:v>0.024857260214492815</x:v>
      </x:c>
      <x:c r="I15" s="55" t="n">
        <x:v>-0.000003134524</x:v>
      </x:c>
      <x:c r="J15" s="66" t="str">
        <x:v>BAL3</x:v>
      </x:c>
      <x:c r="K15" s="66"/>
      <x:c r="L15" s="66" t="n">
        <x:v>6</x:v>
      </x:c>
      <x:c r="M15" s="66" t="n">
        <x:v>0.40357575477400004</x:v>
      </x:c>
      <x:c r="N15" s="66" t="n">
        <x:v>0.395</x:v>
      </x:c>
      <x:c r="O15" s="66" t="n">
        <x:v>0.47254824683900004</x:v>
      </x:c>
      <x:c r="P15" s="66" t="n">
        <x:v>0.5252000000000001</x:v>
      </x:c>
      <x:c r="Q15" s="66" t="n">
        <x:v>0.29846765984278834</x:v>
      </x:c>
      <x:c r="R15" s="66" t="n">
        <x:v>0.308</x:v>
      </x:c>
      <x:c r="S15" s="66"/>
      <x:c r="T15" s="66" t="n">
        <x:v>6</x:v>
      </x:c>
      <x:c r="U15" s="66" t="n">
        <x:v>2.171077157974689</x:v>
      </x:c>
      <x:c r="V15" s="66" t="n">
        <x:v>-10.025086283511055</x:v>
      </x:c>
      <x:c r="W15" s="66" t="n">
        <x:v>-3.0949156354583316</x:v>
      </x:c>
    </x:row>
    <x:row r="16">
      <x:c r="A16" s="53" t="n">
        <x:v>0.8</x:v>
      </x:c>
      <x:c r="B16" s="53" t="n">
        <x:v>8</x:v>
      </x:c>
      <x:c r="C16" s="42" t="n">
        <x:v>0.52474830421</x:v>
      </x:c>
      <x:c r="D16" s="42" t="n">
        <x:v>0.51</x:v>
      </x:c>
      <x:c r="E16" s="48" t="n">
        <x:f>IF(D16=0,"",(C16-D16)/D16)</x:f>
        <x:v>0.028918243549019514</x:v>
      </x:c>
      <x:c r="F16" s="42" t="n">
        <x:f>C16-C12</x:f>
        <x:v>0.47474830420999997</x:v>
      </x:c>
      <x:c r="G16" s="42" t="n">
        <x:f>D16-D12</x:f>
        <x:v>0.46</x:v>
      </x:c>
      <x:c r="H16" s="48" t="n">
        <x:f>IF(B16=0,"",(F16-G16)/G16)</x:f>
        <x:v>0.032061530891304243</x:v>
      </x:c>
      <x:c r="I16" s="55" t="n">
        <x:v>-0.0000111123</x:v>
      </x:c>
      <x:c r="J16" s="66" t="str">
        <x:v>BAL3</x:v>
      </x:c>
      <x:c r="K16" s="66"/>
      <x:c r="L16" s="66" t="n">
        <x:v>8</x:v>
      </x:c>
      <x:c r="M16" s="66" t="n">
        <x:v>0.52474830421</x:v>
      </x:c>
      <x:c r="N16" s="66" t="n">
        <x:v>0.51</x:v>
      </x:c>
      <x:c r="O16" s="66" t="n">
        <x:v>0.608298148633</x:v>
      </x:c>
      <x:c r="P16" s="66" t="n">
        <x:v>0.6836000000000001</x:v>
      </x:c>
      <x:c r="Q16" s="66" t="n">
        <x:v>0.3812902131237178</x:v>
      </x:c>
      <x:c r="R16" s="66" t="n">
        <x:v>0.39399999999999996</x:v>
      </x:c>
      <x:c r="S16" s="66"/>
      <x:c r="T16" s="66" t="n">
        <x:v>8</x:v>
      </x:c>
      <x:c r="U16" s="66" t="n">
        <x:v>2.891824354901951</x:v>
      </x:c>
      <x:c r="V16" s="66" t="n">
        <x:v>-11.015484401258055</x:v>
      </x:c>
      <x:c r="W16" s="66" t="n">
        <x:v>-3.225834232558924</x:v>
      </x:c>
    </x:row>
    <x:row r="17">
      <x:c r="A17" s="53" t="n">
        <x:v>0.8</x:v>
      </x:c>
      <x:c r="B17" s="53" t="n">
        <x:v>10</x:v>
      </x:c>
      <x:c r="C17" s="42" t="n">
        <x:v>0.638260925222</x:v>
      </x:c>
      <x:c r="D17" s="42" t="n">
        <x:v>0.6250000000000001</x:v>
      </x:c>
      <x:c r="E17" s="48" t="n">
        <x:f>IF(D17=0,"",(C17-D17)/D17)</x:f>
        <x:v>0.021217480355199745</x:v>
      </x:c>
      <x:c r="F17" s="42" t="n">
        <x:f>C17-C12</x:f>
        <x:v>0.5882609252219999</x:v>
      </x:c>
      <x:c r="G17" s="42" t="n">
        <x:f>D17-D12</x:f>
        <x:v>0.5750000000000001</x:v>
      </x:c>
      <x:c r="H17" s="48" t="n">
        <x:f>IF(B17=0,"",(F17-G17)/G17)</x:f>
        <x:v>0.023062478646956243</x:v>
      </x:c>
      <x:c r="I17" s="55" t="n">
        <x:v>-0.000015866964</x:v>
      </x:c>
      <x:c r="J17" s="66" t="str">
        <x:v>BAL3</x:v>
      </x:c>
      <x:c r="K17" s="66"/>
      <x:c r="L17" s="66" t="n">
        <x:v>10</x:v>
      </x:c>
      <x:c r="M17" s="66" t="n">
        <x:v>0.638260925222</x:v>
      </x:c>
      <x:c r="N17" s="66" t="n">
        <x:v>0.6250000000000001</x:v>
      </x:c>
      <x:c r="O17" s="66" t="n">
        <x:v>0.73959457653</x:v>
      </x:c>
      <x:c r="P17" s="66" t="n">
        <x:v>0.8420000000000001</x:v>
      </x:c>
      <x:c r="Q17" s="66" t="n">
        <x:v>0.46411276640464727</x:v>
      </x:c>
      <x:c r="R17" s="66" t="n">
        <x:v>0.4799999999999999</x:v>
      </x:c>
      <x:c r="S17" s="66"/>
      <x:c r="T17" s="66" t="n">
        <x:v>10</x:v>
      </x:c>
      <x:c r="U17" s="66" t="n">
        <x:v>2.1217480355199743</x:v>
      </x:c>
      <x:c r="V17" s="66" t="n">
        <x:v>-12.162164307600953</x:v>
      </x:c>
      <x:c r="W17" s="66" t="n">
        <x:v>-3.3098403323651375</x:v>
      </x:c>
    </x:row>
    <x:row r="18">
      <x:c r="A18" s="53" t="n">
        <x:v>0.8</x:v>
      </x:c>
      <x:c r="B18" s="53" t="n">
        <x:v>12</x:v>
      </x:c>
      <x:c r="C18" s="42" t="n">
        <x:v>0.7498370638209999</x:v>
      </x:c>
      <x:c r="D18" s="42" t="n">
        <x:v>0.7400000000000001</x:v>
      </x:c>
      <x:c r="E18" s="48" t="n">
        <x:f>IF(D18=0,"",(C18-D18)/D18)</x:f>
        <x:v>0.01329332948783757</x:v>
      </x:c>
      <x:c r="F18" s="42" t="n">
        <x:f>C18-C12</x:f>
        <x:v>0.6998370638209999</x:v>
      </x:c>
      <x:c r="G18" s="42" t="n">
        <x:f>D18-D12</x:f>
        <x:v>0.6900000000000001</x:v>
      </x:c>
      <x:c r="H18" s="48" t="n">
        <x:f>IF(B18=0,"",(F18-G18)/G18)</x:f>
        <x:v>0.014256614233333046</x:v>
      </x:c>
      <x:c r="I18" s="55" t="n">
        <x:v>-0.000011606761</x:v>
      </x:c>
      <x:c r="J18" s="66" t="str">
        <x:v>BAL3</x:v>
      </x:c>
      <x:c r="K18" s="66"/>
      <x:c r="L18" s="66" t="n">
        <x:v>12</x:v>
      </x:c>
      <x:c r="M18" s="66" t="n">
        <x:v>0.7498370638209999</x:v>
      </x:c>
      <x:c r="N18" s="66" t="n">
        <x:v>0.7400000000000001</x:v>
      </x:c>
      <x:c r="O18" s="66" t="n">
        <x:v>0.865111715814</x:v>
      </x:c>
      <x:c r="P18" s="66" t="n">
        <x:v>1.0004000000000002</x:v>
      </x:c>
      <x:c r="Q18" s="66" t="n">
        <x:v>0.5469353196855767</x:v>
      </x:c>
      <x:c r="R18" s="66" t="n">
        <x:v>0.5660000000000001</x:v>
      </x:c>
      <x:c r="S18" s="66"/>
      <x:c r="T18" s="66" t="n">
        <x:v>12</x:v>
      </x:c>
      <x:c r="U18" s="66" t="n">
        <x:v>1.329332948783757</x:v>
      </x:c>
      <x:c r="V18" s="66" t="n">
        <x:v>-13.52341905097962</x:v>
      </x:c>
      <x:c r="W18" s="66" t="n">
        <x:v>-3.3683180767532366</x:v>
      </x:c>
    </x:row>
    <x:row r="19">
      <x:c r="A19" s="53" t="n">
        <x:v>1.2</x:v>
      </x:c>
      <x:c r="B19" s="53" t="n">
        <x:v>0</x:v>
      </x:c>
      <x:c r="C19" s="42" t="n">
        <x:v>0.05</x:v>
      </x:c>
      <x:c r="D19" s="42" t="n">
        <x:v>0.05</x:v>
      </x:c>
      <x:c r="E19" s="48" t="n">
        <x:f>IF(D19=0,"",(C19-D19)/D19)</x:f>
        <x:v>0</x:v>
      </x:c>
      <x:c r="F19" s="42" t="n">
        <x:f>C19-C19</x:f>
        <x:v>0</x:v>
      </x:c>
      <x:c r="G19" s="42" t="n">
        <x:f>D19-D19</x:f>
        <x:v>0</x:v>
      </x:c>
      <x:c r="H19" s="16" t="str">
        <x:f>IF(B19=0,"",(F19-G19)/G19)</x:f>
      </x:c>
      <x:c r="I19" s="55" t="n">
        <x:v>0.000272596928</x:v>
      </x:c>
      <x:c r="J19" s="66" t="str">
        <x:v>THIN125_BAL3</x:v>
      </x:c>
      <x:c r="K19" s="66"/>
      <x:c r="L19" s="66"/>
      <x:c r="M19" s="66"/>
      <x:c r="N19" s="66"/>
      <x:c r="O19" s="66"/>
      <x:c r="P19" s="66"/>
      <x:c r="Q19" s="66"/>
      <x:c r="R19" s="66"/>
      <x:c r="S19" s="66"/>
      <x:c r="T19" s="66"/>
      <x:c r="U19" s="66"/>
      <x:c r="V19" s="66"/>
      <x:c r="W19" s="66"/>
    </x:row>
    <x:row r="20">
      <x:c r="A20" s="53" t="n">
        <x:v>1.2</x:v>
      </x:c>
      <x:c r="B20" s="53" t="n">
        <x:v>2</x:v>
      </x:c>
      <x:c r="C20" s="42" t="n">
        <x:v>0.19192140601399998</x:v>
      </x:c>
      <x:c r="D20" s="42" t="n">
        <x:v>0.20840000000000003</x:v>
      </x:c>
      <x:c r="E20" s="47" t="n">
        <x:f>IF(D20=0,"",(C20-D20)/D20)</x:f>
        <x:v>-0.0790719481094052</x:v>
      </x:c>
      <x:c r="F20" s="42" t="n">
        <x:f>C20-C19</x:f>
        <x:v>0.141921406014</x:v>
      </x:c>
      <x:c r="G20" s="42" t="n">
        <x:f>D20-D19</x:f>
        <x:v>0.15840000000000004</x:v>
      </x:c>
      <x:c r="H20" s="47" t="n">
        <x:f>IF(B20=0,"",(F20-G20)/G20)</x:f>
        <x:v>-0.1040315276893942</x:v>
      </x:c>
      <x:c r="I20" s="55" t="n">
        <x:v>-0.000010528058</x:v>
      </x:c>
      <x:c r="J20" s="66" t="str">
        <x:v>THIN125_BAL3</x:v>
      </x:c>
      <x:c r="K20" s="66"/>
      <x:c r="L20" s="66"/>
      <x:c r="M20" s="66"/>
      <x:c r="N20" s="66"/>
      <x:c r="O20" s="66"/>
      <x:c r="P20" s="66"/>
      <x:c r="Q20" s="66"/>
      <x:c r="R20" s="66"/>
      <x:c r="S20" s="66"/>
      <x:c r="T20" s="66"/>
      <x:c r="U20" s="66"/>
      <x:c r="V20" s="66"/>
      <x:c r="W20" s="66"/>
    </x:row>
    <x:row r="21">
      <x:c r="A21" s="53" t="n">
        <x:v>1.2</x:v>
      </x:c>
      <x:c r="B21" s="53" t="n">
        <x:v>4</x:v>
      </x:c>
      <x:c r="C21" s="42" t="n">
        <x:v>0.333712855867</x:v>
      </x:c>
      <x:c r="D21" s="42" t="n">
        <x:v>0.3668</x:v>
      </x:c>
      <x:c r="E21" s="47" t="n">
        <x:f>IF(D21=0,"",(C21-D21)/D21)</x:f>
        <x:v>-0.09020486404852784</x:v>
      </x:c>
      <x:c r="F21" s="42" t="n">
        <x:f>C21-C19</x:f>
        <x:v>0.283712855867</x:v>
      </x:c>
      <x:c r="G21" s="42" t="n">
        <x:f>D21-D19</x:f>
        <x:v>0.3168</x:v>
      </x:c>
      <x:c r="H21" s="47" t="n">
        <x:f>IF(B21=0,"",(F21-G21)/G21)</x:f>
        <x:v>-0.10444174284406568</x:v>
      </x:c>
      <x:c r="I21" s="55" t="n">
        <x:v>-0.000165746873</x:v>
      </x:c>
      <x:c r="J21" s="66" t="str">
        <x:v>THIN125_BAL3</x:v>
      </x:c>
      <x:c r="K21" s="66"/>
      <x:c r="L21" s="66"/>
      <x:c r="M21" s="66"/>
      <x:c r="N21" s="66"/>
      <x:c r="O21" s="66"/>
      <x:c r="P21" s="66"/>
      <x:c r="Q21" s="66"/>
      <x:c r="R21" s="66"/>
      <x:c r="S21" s="66"/>
      <x:c r="T21" s="66"/>
      <x:c r="U21" s="66"/>
      <x:c r="V21" s="66"/>
      <x:c r="W21" s="66"/>
    </x:row>
    <x:row r="22">
      <x:c r="A22" s="53" t="n">
        <x:v>1.2</x:v>
      </x:c>
      <x:c r="B22" s="53" t="n">
        <x:v>6</x:v>
      </x:c>
      <x:c r="C22" s="42" t="n">
        <x:v>0.47254824683900004</x:v>
      </x:c>
      <x:c r="D22" s="42" t="n">
        <x:v>0.5252000000000001</x:v>
      </x:c>
      <x:c r="E22" s="47" t="n">
        <x:f>IF(D22=0,"",(C22-D22)/D22)</x:f>
        <x:v>-0.10025086283511055</x:v>
      </x:c>
      <x:c r="F22" s="42" t="n">
        <x:f>C22-C19</x:f>
        <x:v>0.42254824683900005</x:v>
      </x:c>
      <x:c r="G22" s="42" t="n">
        <x:f>D22-D19</x:f>
        <x:v>0.4752000000000001</x:v>
      </x:c>
      <x:c r="H22" s="47" t="n">
        <x:f>IF(B22=0,"",(F22-G22)/G22)</x:f>
        <x:v>-0.11079914385732335</x:v>
      </x:c>
      <x:c r="I22" s="55" t="n">
        <x:v>-0.000137066936</x:v>
      </x:c>
      <x:c r="J22" s="66" t="str">
        <x:v>THIN125_BAL3</x:v>
      </x:c>
      <x:c r="K22" s="66"/>
      <x:c r="L22" s="66"/>
      <x:c r="M22" s="66"/>
      <x:c r="N22" s="66"/>
      <x:c r="O22" s="66"/>
      <x:c r="P22" s="66"/>
      <x:c r="Q22" s="66"/>
      <x:c r="R22" s="66"/>
      <x:c r="S22" s="66"/>
      <x:c r="T22" s="66"/>
      <x:c r="U22" s="66"/>
      <x:c r="V22" s="66"/>
      <x:c r="W22" s="66"/>
    </x:row>
    <x:row r="23">
      <x:c r="A23" s="53" t="n">
        <x:v>1.2</x:v>
      </x:c>
      <x:c r="B23" s="53" t="n">
        <x:v>8</x:v>
      </x:c>
      <x:c r="C23" s="42" t="n">
        <x:v>0.608298148633</x:v>
      </x:c>
      <x:c r="D23" s="42" t="n">
        <x:v>0.6836000000000001</x:v>
      </x:c>
      <x:c r="E23" s="47" t="n">
        <x:f>IF(D23=0,"",(C23-D23)/D23)</x:f>
        <x:v>-0.11015484401258055</x:v>
      </x:c>
      <x:c r="F23" s="42" t="n">
        <x:f>C23-C19</x:f>
        <x:v>0.558298148633</x:v>
      </x:c>
      <x:c r="G23" s="42" t="n">
        <x:f>D23-D19</x:f>
        <x:v>0.6336</x:v>
      </x:c>
      <x:c r="H23" s="47" t="n">
        <x:f>IF(B23=0,"",(F23-G23)/G23)</x:f>
        <x:v>-0.11884761895044202</x:v>
      </x:c>
      <x:c r="I23" s="55" t="n">
        <x:v>-0.000402017178</x:v>
      </x:c>
      <x:c r="J23" s="66" t="str">
        <x:v>THIN125_BAL3</x:v>
      </x:c>
      <x:c r="K23" s="66"/>
      <x:c r="L23" s="66"/>
      <x:c r="M23" s="66"/>
      <x:c r="N23" s="66"/>
      <x:c r="O23" s="66"/>
      <x:c r="P23" s="66"/>
      <x:c r="Q23" s="66"/>
      <x:c r="R23" s="66"/>
      <x:c r="S23" s="66"/>
      <x:c r="T23" s="66"/>
      <x:c r="U23" s="66"/>
      <x:c r="V23" s="66"/>
      <x:c r="W23" s="66"/>
    </x:row>
    <x:row r="24">
      <x:c r="A24" s="53" t="n">
        <x:v>1.2</x:v>
      </x:c>
      <x:c r="B24" s="53" t="n">
        <x:v>10</x:v>
      </x:c>
      <x:c r="C24" s="42" t="n">
        <x:v>0.73959457653</x:v>
      </x:c>
      <x:c r="D24" s="42" t="n">
        <x:v>0.8420000000000001</x:v>
      </x:c>
      <x:c r="E24" s="47" t="n">
        <x:f>IF(D24=0,"",(C24-D24)/D24)</x:f>
        <x:v>-0.12162164307600953</x:v>
      </x:c>
      <x:c r="F24" s="42" t="n">
        <x:f>C24-C19</x:f>
        <x:v>0.68959457653</x:v>
      </x:c>
      <x:c r="G24" s="42" t="n">
        <x:f>D24-D19</x:f>
        <x:v>0.792</x:v>
      </x:c>
      <x:c r="H24" s="47" t="n">
        <x:f>IF(B24=0,"",(F24-G24)/G24)</x:f>
        <x:v>-0.1292997771085859</x:v>
      </x:c>
      <x:c r="I24" s="55" t="n">
        <x:v>-2.793e-8</x:v>
      </x:c>
      <x:c r="J24" s="66" t="str">
        <x:v>THIN125_BAL3</x:v>
      </x:c>
      <x:c r="K24" s="66"/>
      <x:c r="L24" s="66"/>
      <x:c r="M24" s="66"/>
      <x:c r="N24" s="66"/>
      <x:c r="O24" s="66"/>
      <x:c r="P24" s="66"/>
      <x:c r="Q24" s="66"/>
      <x:c r="R24" s="66"/>
      <x:c r="S24" s="66"/>
      <x:c r="T24" s="66"/>
      <x:c r="U24" s="66"/>
      <x:c r="V24" s="66"/>
      <x:c r="W24" s="66"/>
    </x:row>
    <x:row r="25">
      <x:c r="A25" s="53" t="n">
        <x:v>1.2</x:v>
      </x:c>
      <x:c r="B25" s="53" t="n">
        <x:v>12</x:v>
      </x:c>
      <x:c r="C25" s="42" t="n">
        <x:v>0.865111715814</x:v>
      </x:c>
      <x:c r="D25" s="42" t="n">
        <x:v>1.0004000000000002</x:v>
      </x:c>
      <x:c r="E25" s="47" t="n">
        <x:f>IF(D25=0,"",(C25-D25)/D25)</x:f>
        <x:v>-0.1352341905097962</x:v>
      </x:c>
      <x:c r="F25" s="42" t="n">
        <x:f>C25-C19</x:f>
        <x:v>0.815111715814</x:v>
      </x:c>
      <x:c r="G25" s="42" t="n">
        <x:f>D25-D19</x:f>
        <x:v>0.9504000000000001</x:v>
      </x:c>
      <x:c r="H25" s="47" t="n">
        <x:f>IF(B25=0,"",(F25-G25)/G25)</x:f>
        <x:v>-0.14234878386574087</x:v>
      </x:c>
      <x:c r="I25" s="55" t="n">
        <x:v>0.000246498683</x:v>
      </x:c>
      <x:c r="J25" s="66" t="str">
        <x:v>THIN125_BAL3</x:v>
      </x:c>
      <x:c r="K25" s="66"/>
      <x:c r="L25" s="66"/>
      <x:c r="M25" s="66"/>
      <x:c r="N25" s="66"/>
      <x:c r="O25" s="66"/>
      <x:c r="P25" s="66"/>
      <x:c r="Q25" s="66"/>
      <x:c r="R25" s="66"/>
      <x:c r="S25" s="66"/>
      <x:c r="T25" s="66"/>
      <x:c r="U25" s="66"/>
      <x:c r="V25" s="66"/>
      <x:c r="W25" s="66"/>
    </x:row>
    <x:row r="26">
      <x:c r="A26" s="53" t="n">
        <x:v>1.7</x:v>
      </x:c>
      <x:c r="B26" s="53" t="n">
        <x:v>0</x:v>
      </x:c>
      <x:c r="C26" s="42" t="n">
        <x:v>0.05</x:v>
      </x:c>
      <x:c r="D26" s="42" t="n">
        <x:v>0.05</x:v>
      </x:c>
      <x:c r="E26" s="48" t="n">
        <x:f>IF(D26=0,"",(C26-D26)/D26)</x:f>
        <x:v>0</x:v>
      </x:c>
      <x:c r="F26" s="42" t="n">
        <x:f>C26-C26</x:f>
        <x:v>0</x:v>
      </x:c>
      <x:c r="G26" s="42" t="n">
        <x:f>D26-D26</x:f>
        <x:v>0</x:v>
      </x:c>
      <x:c r="H26" s="16" t="str">
        <x:f>IF(B26=0,"",(F26-G26)/G26)</x:f>
      </x:c>
      <x:c r="I26" s="55" t="n">
        <x:v>0</x:v>
      </x:c>
      <x:c r="J26" s="66" t="str">
        <x:v>LOCAL_LINEAR_MIXED_TRIM</x:v>
      </x:c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</x:row>
    <x:row r="27">
      <x:c r="A27" s="53" t="n">
        <x:v>1.7</x:v>
      </x:c>
      <x:c r="B27" s="53" t="n">
        <x:v>2</x:v>
      </x:c>
      <x:c r="C27" s="42" t="n">
        <x:v>0.13282255328092946</x:v>
      </x:c>
      <x:c r="D27" s="42" t="n">
        <x:v>0.136</x:v>
      </x:c>
      <x:c r="E27" s="48" t="n">
        <x:f>IF(D27=0,"",(C27-D27)/D27)</x:f>
        <x:v>-0.023363578816695246</x:v>
      </x:c>
      <x:c r="F27" s="42" t="n">
        <x:f>C27-C26</x:f>
        <x:v>0.08282255328092945</x:v>
      </x:c>
      <x:c r="G27" s="42" t="n">
        <x:f>D27-D26</x:f>
        <x:v>0.08600000000000001</x:v>
      </x:c>
      <x:c r="H27" s="48" t="n">
        <x:f>IF(B27=0,"",(F27-G27)/G27)</x:f>
        <x:v>-0.03694705487291341</x:v>
      </x:c>
      <x:c r="I27" s="55" t="n">
        <x:v>0</x:v>
      </x:c>
      <x:c r="J27" s="66" t="str">
        <x:v>LOCAL_LINEAR_MIXED_TRIM</x:v>
      </x:c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</x:row>
    <x:row r="28">
      <x:c r="A28" s="53" t="n">
        <x:v>1.7</x:v>
      </x:c>
      <x:c r="B28" s="53" t="n">
        <x:v>4</x:v>
      </x:c>
      <x:c r="C28" s="42" t="n">
        <x:v>0.21564510656185892</x:v>
      </x:c>
      <x:c r="D28" s="42" t="n">
        <x:v>0.22199999999999998</x:v>
      </x:c>
      <x:c r="E28" s="48" t="n">
        <x:f>IF(D28=0,"",(C28-D28)/D28)</x:f>
        <x:v>-0.02862564611775249</x:v>
      </x:c>
      <x:c r="F28" s="42" t="n">
        <x:f>C28-C26</x:f>
        <x:v>0.16564510656185893</x:v>
      </x:c>
      <x:c r="G28" s="42" t="n">
        <x:f>D28-D26</x:f>
        <x:v>0.172</x:v>
      </x:c>
      <x:c r="H28" s="48" t="n">
        <x:f>IF(B28=0,"",(F28-G28)/G28)</x:f>
        <x:v>-0.036947054872913096</x:v>
      </x:c>
      <x:c r="I28" s="55" t="n">
        <x:v>0</x:v>
      </x:c>
      <x:c r="J28" s="66" t="str">
        <x:v>LOCAL_LINEAR_MIXED_TRIM</x:v>
      </x:c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</x:row>
    <x:row r="29">
      <x:c r="A29" s="53" t="n">
        <x:v>1.7</x:v>
      </x:c>
      <x:c r="B29" s="53" t="n">
        <x:v>6</x:v>
      </x:c>
      <x:c r="C29" s="42" t="n">
        <x:v>0.29846765984278834</x:v>
      </x:c>
      <x:c r="D29" s="42" t="n">
        <x:v>0.308</x:v>
      </x:c>
      <x:c r="E29" s="48" t="n">
        <x:f>IF(D29=0,"",(C29-D29)/D29)</x:f>
        <x:v>-0.030949156354583313</x:v>
      </x:c>
      <x:c r="F29" s="42" t="n">
        <x:f>C29-C26</x:f>
        <x:v>0.24846765984278835</x:v>
      </x:c>
      <x:c r="G29" s="42" t="n">
        <x:f>D29-D26</x:f>
        <x:v>0.258</x:v>
      </x:c>
      <x:c r="H29" s="48" t="n">
        <x:f>IF(B29=0,"",(F29-G29)/G29)</x:f>
        <x:v>-0.036947054872913415</x:v>
      </x:c>
      <x:c r="I29" s="55" t="n">
        <x:v>0</x:v>
      </x:c>
      <x:c r="J29" s="66" t="str">
        <x:v>LOCAL_LINEAR_MIXED_TRIM</x:v>
      </x:c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</x:row>
    <x:row r="30">
      <x:c r="A30" s="53" t="n">
        <x:v>1.7</x:v>
      </x:c>
      <x:c r="B30" s="53" t="n">
        <x:v>8</x:v>
      </x:c>
      <x:c r="C30" s="42" t="n">
        <x:v>0.3812902131237178</x:v>
      </x:c>
      <x:c r="D30" s="42" t="n">
        <x:v>0.39399999999999996</x:v>
      </x:c>
      <x:c r="E30" s="48" t="n">
        <x:f>IF(D30=0,"",(C30-D30)/D30)</x:f>
        <x:v>-0.03225834232558924</x:v>
      </x:c>
      <x:c r="F30" s="42" t="n">
        <x:f>C30-C26</x:f>
        <x:v>0.3312902131237178</x:v>
      </x:c>
      <x:c r="G30" s="42" t="n">
        <x:f>D30-D26</x:f>
        <x:v>0.344</x:v>
      </x:c>
      <x:c r="H30" s="48" t="n">
        <x:f>IF(B30=0,"",(F30-G30)/G30)</x:f>
        <x:v>-0.036947054872913256</x:v>
      </x:c>
      <x:c r="I30" s="55" t="n">
        <x:v>0</x:v>
      </x:c>
      <x:c r="J30" s="66" t="str">
        <x:v>LOCAL_LINEAR_MIXED_TRIM</x:v>
      </x:c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</x:row>
    <x:row r="31">
      <x:c r="A31" s="53" t="n">
        <x:v>1.7</x:v>
      </x:c>
      <x:c r="B31" s="53" t="n">
        <x:v>10</x:v>
      </x:c>
      <x:c r="C31" s="42" t="n">
        <x:v>0.46411276640464727</x:v>
      </x:c>
      <x:c r="D31" s="42" t="n">
        <x:v>0.4799999999999999</x:v>
      </x:c>
      <x:c r="E31" s="48" t="n">
        <x:f>IF(D31=0,"",(C31-D31)/D31)</x:f>
        <x:v>-0.033098403323651375</x:v>
      </x:c>
      <x:c r="F31" s="42" t="n">
        <x:f>C31-C26</x:f>
        <x:v>0.4141127664046473</x:v>
      </x:c>
      <x:c r="G31" s="42" t="n">
        <x:f>D31-D26</x:f>
        <x:v>0.42999999999999994</x:v>
      </x:c>
      <x:c r="H31" s="48" t="n">
        <x:f>IF(B31=0,"",(F31-G31)/G31)</x:f>
        <x:v>-0.03694705487291316</x:v>
      </x:c>
      <x:c r="I31" s="55" t="n">
        <x:v>0</x:v>
      </x:c>
      <x:c r="J31" s="66" t="str">
        <x:v>LOCAL_LINEAR_MIXED_TRIM</x:v>
      </x:c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</x:row>
    <x:row r="32">
      <x:c r="A32" s="53" t="n">
        <x:v>1.7</x:v>
      </x:c>
      <x:c r="B32" s="53" t="n">
        <x:v>12</x:v>
      </x:c>
      <x:c r="C32" s="42" t="n">
        <x:v>0.5469353196855767</x:v>
      </x:c>
      <x:c r="D32" s="42" t="n">
        <x:v>0.5660000000000001</x:v>
      </x:c>
      <x:c r="E32" s="48" t="n">
        <x:f>IF(D32=0,"",(C32-D32)/D32)</x:f>
        <x:v>-0.033683180767532364</x:v>
      </x:c>
      <x:c r="F32" s="42" t="n">
        <x:f>C32-C26</x:f>
        <x:v>0.49693531968557675</x:v>
      </x:c>
      <x:c r="G32" s="42" t="n">
        <x:f>D32-D26</x:f>
        <x:v>0.516</x:v>
      </x:c>
      <x:c r="H32" s="48" t="n">
        <x:f>IF(B32=0,"",(F32-G32)/G32)</x:f>
        <x:v>-0.036947054872913304</x:v>
      </x:c>
      <x:c r="I32" s="55" t="n">
        <x:v>0</x:v>
      </x:c>
      <x:c r="J32" s="66" t="str">
        <x:v>LOCAL_LINEAR_MIXED_TRIM</x:v>
      </x:c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</x:row>
    <x:row r="33">
      <x:c r="A33" s="66"/>
      <x:c r="B33" s="66"/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</x:row>
    <x:row r="34">
      <x:c r="A34" s="66"/>
      <x:c r="B34" s="66"/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</x:row>
    <x:row r="35">
      <x:c r="A35" s="52" t="str">
        <x:v>Ограничение M=1,7: точки выше локально устойчивого диапазона являются линейным продолжением надёжно сошедшегося моментно-сбалансированного наклона. Для подтверждения нелинейной части при больших α нужны Euler/RANS или продувка.</x:v>
      </x:c>
      <x:c r="B35" s="52"/>
      <x:c r="C35" s="52"/>
      <x:c r="D35" s="52"/>
      <x:c r="E35" s="52"/>
      <x:c r="F35" s="52"/>
      <x:c r="G35" s="52"/>
      <x:c r="H35" s="52"/>
      <x:c r="I35" s="52"/>
      <x:c r="J35" s="52"/>
      <x:c r="K35" s="52"/>
      <x:c r="L35" s="52"/>
      <x:c r="M35" s="52"/>
      <x:c r="N35" s="52"/>
      <x:c r="O35" s="52"/>
      <x:c r="P35" s="52"/>
      <x:c r="Q35" s="66"/>
      <x:c r="R35" s="66"/>
      <x:c r="S35" s="66"/>
      <x:c r="T35" s="66"/>
      <x:c r="U35" s="66"/>
      <x:c r="V35" s="66"/>
      <x:c r="W35" s="66"/>
    </x:row>
    <x:row r="36">
      <x:c r="A36" s="70"/>
      <x:c r="B36" s="70"/>
      <x:c r="C36" s="70"/>
      <x:c r="D36" s="70"/>
      <x:c r="E36" s="70"/>
      <x:c r="F36" s="70"/>
      <x:c r="G36" s="70"/>
      <x:c r="H36" s="70"/>
      <x:c r="I36" s="70"/>
      <x:c r="J36" s="70"/>
      <x:c r="K36" s="70"/>
      <x:c r="L36" s="70"/>
      <x:c r="M36" s="70"/>
      <x:c r="N36" s="70"/>
      <x:c r="O36" s="70"/>
      <x:c r="P36" s="70"/>
      <x:c r="Q36" s="69"/>
      <x:c r="R36" s="69"/>
      <x:c r="S36" s="69"/>
      <x:c r="T36" s="69"/>
      <x:c r="U36" s="69"/>
      <x:c r="V36" s="69"/>
      <x:c r="W36" s="69"/>
    </x:row>
  </x:sheetData>
  <x:mergeCells>
    <x:mergeCell ref="A1:P2"/>
    <x:mergeCell ref="A3:P3"/>
    <x:mergeCell ref="A35:P36"/>
  </x:mergeCells>
  <x:pageMargins left="0.7" right="0.7" top="0.75" bottom="0.75" header="0.3" footer="0.3"/>
  <x:drawing xmlns:r="http://schemas.openxmlformats.org/officeDocument/2006/relationships" r:id="R2b0f07ff6fc943b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25" hidden="0" customWidth="1"/>
    <x:col min="9" max="9" width="48" hidden="0" customWidth="1"/>
    <x:col min="10" max="10" width="16" hidden="0" customWidth="1"/>
    <x:col min="11" max="11" width="26" hidden="0" customWidth="1"/>
    <x:col min="12" max="12" width="16" hidden="0" customWidth="1"/>
    <x:col min="13" max="13" width="3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3" hidden="0" customWidth="1"/>
    <x:col min="19" max="19" width="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8" hidden="0" customWidth="1"/>
    <x:col min="28" max="28" width="8" hidden="0" customWidth="1"/>
    <x:col min="29" max="29" width="8" hidden="0" customWidth="1"/>
  </x:cols>
  <x:sheetData>
    <x:row r="1">
      <x:c r="A1" s="3" t="str">
        <x:v>RepairMach 9.1 — коэффициент подъёмной силы во всём диапазоне без транзвука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</x:row>
    <x:row r="3">
      <x:c r="A3" s="6" t="str">
        <x:v>Единая исправленная замкнутая VSP-модель: M=0,0…0,8 и 1,2…2,2; α=0…5° с шагом 1°. Cyα по запросу = Cy(1°)−Cy(0°). Оранжевые строки — интерполяция только между соседними устойчивыми прямыми расчётами, без подстановки книжных данных.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  <x:c r="X3" s="6"/>
      <x:c r="Y3" s="6"/>
      <x:c r="Z3" s="6"/>
      <x:c r="AA3" s="6"/>
      <x:c r="AB3" s="6"/>
      <x:c r="AC3" s="6"/>
    </x:row>
    <x:row r="4">
      <x:c r="A4" s="66"/>
      <x:c r="B4" s="66"/>
      <x:c r="C4" s="66"/>
      <x:c r="D4" s="66"/>
      <x:c r="E4" s="66"/>
      <x:c r="F4" s="66"/>
      <x:c r="G4" s="66"/>
      <x:c r="H4" s="66"/>
      <x:c r="I4" s="66"/>
      <x:c r="J4" s="66"/>
      <x:c r="K4" s="66"/>
      <x:c r="L4" s="66"/>
      <x:c r="M4" s="66"/>
      <x:c r="N4" s="66"/>
      <x:c r="O4" s="66"/>
      <x:c r="P4" s="66"/>
      <x:c r="Q4" s="66"/>
      <x:c r="R4" s="66"/>
      <x:c r="S4" s="66"/>
      <x:c r="T4" s="66"/>
      <x:c r="U4" s="66"/>
      <x:c r="V4" s="66"/>
      <x:c r="W4" s="66"/>
      <x:c r="X4" s="66"/>
      <x:c r="Y4" s="66"/>
      <x:c r="Z4" s="66"/>
      <x:c r="AA4" s="66"/>
      <x:c r="AB4" s="66"/>
      <x:c r="AC4" s="66"/>
    </x:row>
    <x:row r="5">
      <x:c r="A5" s="36" t="str">
        <x:v>M</x:v>
      </x:c>
      <x:c r="B5" s="36" t="str">
        <x:v>Режим</x:v>
      </x:c>
      <x:c r="C5" s="36" t="str">
        <x:v>Cy(0°)</x:v>
      </x:c>
      <x:c r="D5" s="36" t="str">
        <x:v>Cy(1°)</x:v>
      </x:c>
      <x:c r="E5" s="36" t="str">
        <x:v>Cy(5°)</x:v>
      </x:c>
      <x:c r="F5" s="36" t="str">
        <x:v>Cyα=ΔCy/1°</x:v>
      </x:c>
      <x:c r="G5" s="36" t="str">
        <x:v>Cyα лин. 0…5°</x:v>
      </x:c>
      <x:c r="H5" s="36" t="str">
        <x:v>R²</x:v>
      </x:c>
      <x:c r="I5" s="36" t="str">
        <x:v>Книга ≈</x:v>
      </x:c>
      <x:c r="J5" s="36" t="str">
        <x:v>Ошибка к книге</x:v>
      </x:c>
      <x:c r="K5" s="36" t="str">
        <x:v>Статус</x:v>
      </x:c>
      <x:c r="L5" s="36" t="str">
        <x:v>Полудиапазон Cy</x:v>
      </x:c>
      <x:c r="M5" s="66"/>
      <x:c r="N5" s="66" t="str">
        <x:v>M</x:v>
      </x:c>
      <x:c r="O5" s="66" t="str">
        <x:v>Cyα=ΔCy/1°</x:v>
      </x:c>
      <x:c r="P5" s="66" t="str">
        <x:v>Cyα лин. 0…5°</x:v>
      </x:c>
      <x:c r="Q5" s="66" t="str">
        <x:v>Книга ≈</x:v>
      </x:c>
      <x:c r="R5" s="66"/>
      <x:c r="S5" s="66"/>
      <x:c r="T5" s="66" t="str">
        <x:v>M</x:v>
      </x:c>
      <x:c r="U5" s="66" t="str">
        <x:v>Cy α=0°</x:v>
      </x:c>
      <x:c r="V5" s="66" t="str">
        <x:v>Cy α=1°</x:v>
      </x:c>
      <x:c r="W5" s="66" t="str">
        <x:v>Cy α=2°</x:v>
      </x:c>
      <x:c r="X5" s="66" t="str">
        <x:v>Cy α=3°</x:v>
      </x:c>
      <x:c r="Y5" s="66" t="str">
        <x:v>Cy α=4°</x:v>
      </x:c>
      <x:c r="Z5" s="66" t="str">
        <x:v>Cy α=5°</x:v>
      </x:c>
      <x:c r="AA5" s="66"/>
      <x:c r="AB5" s="66"/>
      <x:c r="AC5" s="66"/>
    </x:row>
    <x:row r="6">
      <x:c r="A6" s="53" t="n">
        <x:v>0</x:v>
      </x:c>
      <x:c r="B6" s="66" t="str">
        <x:v>дозвук</x:v>
      </x:c>
      <x:c r="C6" s="42" t="n">
        <x:v>0.017819646497</x:v>
      </x:c>
      <x:c r="D6" s="42" t="n">
        <x:v>0.064104504271</x:v>
      </x:c>
      <x:c r="E6" s="42" t="n">
        <x:v>0.252340228814</x:v>
      </x:c>
      <x:c r="F6" s="42" t="n">
        <x:f>D6-C6</x:f>
        <x:v>0.046284857774</x:v>
      </x:c>
      <x:c r="G6" s="42" t="n">
        <x:v>0.04690681097222856</x:v>
      </x:c>
      <x:c r="H6" s="58" t="n">
        <x:v>0.9999894342597967</x:v>
      </x:c>
      <x:c r="I6" s="42"/>
      <x:c r="J6" s="16" t="str">
        <x:f>IF(I6="","",(F6-I6)/I6)</x:f>
      </x:c>
      <x:c r="K6" s="66" t="str">
        <x:v>direct VSPAERO</x:v>
      </x:c>
      <x:c r="L6" s="42" t="n">
        <x:v>0</x:v>
      </x:c>
      <x:c r="M6" s="66"/>
      <x:c r="N6" s="66" t="n">
        <x:f>A6</x:f>
        <x:v>0</x:v>
      </x:c>
      <x:c r="O6" s="66" t="n">
        <x:f>F6</x:f>
        <x:v>0.046284857774</x:v>
      </x:c>
      <x:c r="P6" s="66" t="n">
        <x:f>G6</x:f>
        <x:v>0.04690681097222856</x:v>
      </x:c>
      <x:c r="Q6" s="66" t="n">
        <x:f>I6</x:f>
        <x:v>0</x:v>
      </x:c>
      <x:c r="R6" s="66"/>
      <x:c r="S6" s="66"/>
      <x:c r="T6" s="66" t="n">
        <x:v>0</x:v>
      </x:c>
      <x:c r="U6" s="66" t="n">
        <x:v>0.017819646497</x:v>
      </x:c>
      <x:c r="V6" s="66" t="n">
        <x:v>0.064104504271</x:v>
      </x:c>
      <x:c r="W6" s="66" t="n">
        <x:v>0.111254448021</x:v>
      </x:c>
      <x:c r="X6" s="66" t="n">
        <x:v>0.158308918024</x:v>
      </x:c>
      <x:c r="Y6" s="66" t="n">
        <x:v>0.204798171751</x:v>
      </x:c>
      <x:c r="Z6" s="66" t="n">
        <x:v>0.252340228814</x:v>
      </x:c>
      <x:c r="AA6" s="66"/>
      <x:c r="AB6" s="66"/>
      <x:c r="AC6" s="66"/>
    </x:row>
    <x:row r="7">
      <x:c r="A7" s="53" t="n">
        <x:v>0.1</x:v>
      </x:c>
      <x:c r="B7" s="66" t="str">
        <x:v>дозвук</x:v>
      </x:c>
      <x:c r="C7" s="42" t="n">
        <x:v>0.017743102194</x:v>
      </x:c>
      <x:c r="D7" s="42" t="n">
        <x:v>0.064116027654</x:v>
      </x:c>
      <x:c r="E7" s="42" t="n">
        <x:v>0.252660834444</x:v>
      </x:c>
      <x:c r="F7" s="42" t="n">
        <x:f>D7-C7</x:f>
        <x:v>0.04637292546</x:v>
      </x:c>
      <x:c r="G7" s="42" t="n">
        <x:v>0.046985818221714284</x:v>
      </x:c>
      <x:c r="H7" s="58" t="n">
        <x:v>0.9999896680551764</x:v>
      </x:c>
      <x:c r="I7" s="42"/>
      <x:c r="J7" s="16" t="str">
        <x:f>IF(I7="","",(F7-I7)/I7)</x:f>
      </x:c>
      <x:c r="K7" s="66" t="str">
        <x:v>direct VSPAERO</x:v>
      </x:c>
      <x:c r="L7" s="42" t="n">
        <x:v>0</x:v>
      </x:c>
      <x:c r="M7" s="66"/>
      <x:c r="N7" s="66" t="n">
        <x:f>A7</x:f>
        <x:v>0.1</x:v>
      </x:c>
      <x:c r="O7" s="66" t="n">
        <x:f>F7</x:f>
        <x:v>0.04637292546</x:v>
      </x:c>
      <x:c r="P7" s="66" t="n">
        <x:f>G7</x:f>
        <x:v>0.046985818221714284</x:v>
      </x:c>
      <x:c r="Q7" s="66" t="n">
        <x:f>I7</x:f>
        <x:v>0</x:v>
      </x:c>
      <x:c r="R7" s="66"/>
      <x:c r="S7" s="66"/>
      <x:c r="T7" s="66" t="n">
        <x:v>0.1</x:v>
      </x:c>
      <x:c r="U7" s="66" t="n">
        <x:v>0.017743102194</x:v>
      </x:c>
      <x:c r="V7" s="66" t="n">
        <x:v>0.064116027654</x:v>
      </x:c>
      <x:c r="W7" s="66" t="n">
        <x:v>0.111349739718</x:v>
      </x:c>
      <x:c r="X7" s="66" t="n">
        <x:v>0.158482070383</x:v>
      </x:c>
      <x:c r="Y7" s="66" t="n">
        <x:v>0.205043576269</x:v>
      </x:c>
      <x:c r="Z7" s="66" t="n">
        <x:v>0.252660834444</x:v>
      </x:c>
      <x:c r="AA7" s="66"/>
      <x:c r="AB7" s="66"/>
      <x:c r="AC7" s="66"/>
    </x:row>
    <x:row r="8">
      <x:c r="A8" s="53" t="n">
        <x:v>0.2</x:v>
      </x:c>
      <x:c r="B8" s="66" t="str">
        <x:v>дозвук</x:v>
      </x:c>
      <x:c r="C8" s="42" t="n">
        <x:v>0.017503319908</x:v>
      </x:c>
      <x:c r="D8" s="42" t="n">
        <x:v>0.064200415235</x:v>
      </x:c>
      <x:c r="E8" s="42" t="n">
        <x:v>0.253802088641</x:v>
      </x:c>
      <x:c r="F8" s="42" t="n">
        <x:f>D8-C8</x:f>
        <x:v>0.046697095327000004</x:v>
      </x:c>
      <x:c r="G8" s="42" t="n">
        <x:v>0.047259241428971435</x:v>
      </x:c>
      <x:c r="H8" s="58" t="n">
        <x:v>0.9999906254844838</x:v>
      </x:c>
      <x:c r="I8" s="42"/>
      <x:c r="J8" s="16" t="str">
        <x:f>IF(I8="","",(F8-I8)/I8)</x:f>
      </x:c>
      <x:c r="K8" s="66" t="str">
        <x:v>direct VSPAERO</x:v>
      </x:c>
      <x:c r="L8" s="42" t="n">
        <x:v>0</x:v>
      </x:c>
      <x:c r="M8" s="66"/>
      <x:c r="N8" s="66" t="n">
        <x:f>A8</x:f>
        <x:v>0.2</x:v>
      </x:c>
      <x:c r="O8" s="66" t="n">
        <x:f>F8</x:f>
        <x:v>0.046697095327000004</x:v>
      </x:c>
      <x:c r="P8" s="66" t="n">
        <x:f>G8</x:f>
        <x:v>0.047259241428971435</x:v>
      </x:c>
      <x:c r="Q8" s="66" t="n">
        <x:f>I8</x:f>
        <x:v>0</x:v>
      </x:c>
      <x:c r="R8" s="66"/>
      <x:c r="S8" s="66"/>
      <x:c r="T8" s="66" t="n">
        <x:v>0.2</x:v>
      </x:c>
      <x:c r="U8" s="66" t="n">
        <x:v>0.017503319908</x:v>
      </x:c>
      <x:c r="V8" s="66" t="n">
        <x:v>0.064200415235</x:v>
      </x:c>
      <x:c r="W8" s="66" t="n">
        <x:v>0.111707823386</x:v>
      </x:c>
      <x:c r="X8" s="66" t="n">
        <x:v>0.159119014669</x:v>
      </x:c>
      <x:c r="Y8" s="66" t="n">
        <x:v>0.205923220257</x:v>
      </x:c>
      <x:c r="Z8" s="66" t="n">
        <x:v>0.253802088641</x:v>
      </x:c>
      <x:c r="AA8" s="66"/>
      <x:c r="AB8" s="66"/>
      <x:c r="AC8" s="66"/>
    </x:row>
    <x:row r="9">
      <x:c r="A9" s="53" t="n">
        <x:v>0.3</x:v>
      </x:c>
      <x:c r="B9" s="66" t="str">
        <x:v>дозвук</x:v>
      </x:c>
      <x:c r="C9" s="42" t="n">
        <x:v>0.017170579178</x:v>
      </x:c>
      <x:c r="D9" s="42" t="n">
        <x:v>0.064415741498</x:v>
      </x:c>
      <x:c r="E9" s="42" t="n">
        <x:v>0.255877709833</x:v>
      </x:c>
      <x:c r="F9" s="42" t="n">
        <x:f>D9-C9</x:f>
        <x:v>0.047245162320000006</x:v>
      </x:c>
      <x:c r="G9" s="42" t="n">
        <x:v>0.04773124074611429</x:v>
      </x:c>
      <x:c r="H9" s="58" t="n">
        <x:v>0.9999908065727647</x:v>
      </x:c>
      <x:c r="I9" s="42"/>
      <x:c r="J9" s="16" t="str">
        <x:f>IF(I9="","",(F9-I9)/I9)</x:f>
      </x:c>
      <x:c r="K9" s="66" t="str">
        <x:v>direct VSPAERO</x:v>
      </x:c>
      <x:c r="L9" s="42" t="n">
        <x:v>0</x:v>
      </x:c>
      <x:c r="M9" s="66"/>
      <x:c r="N9" s="66" t="n">
        <x:f>A9</x:f>
        <x:v>0.3</x:v>
      </x:c>
      <x:c r="O9" s="66" t="n">
        <x:f>F9</x:f>
        <x:v>0.047245162320000006</x:v>
      </x:c>
      <x:c r="P9" s="66" t="n">
        <x:f>G9</x:f>
        <x:v>0.04773124074611429</x:v>
      </x:c>
      <x:c r="Q9" s="66" t="n">
        <x:f>I9</x:f>
        <x:v>0</x:v>
      </x:c>
      <x:c r="R9" s="66"/>
      <x:c r="S9" s="66"/>
      <x:c r="T9" s="66" t="n">
        <x:v>0.3</x:v>
      </x:c>
      <x:c r="U9" s="66" t="n">
        <x:v>0.017170579178</x:v>
      </x:c>
      <x:c r="V9" s="66" t="n">
        <x:v>0.064415741498</x:v>
      </x:c>
      <x:c r="W9" s="66" t="n">
        <x:v>0.112413913838</x:v>
      </x:c>
      <x:c r="X9" s="66" t="n">
        <x:v>0.160278127043</x:v>
      </x:c>
      <x:c r="Y9" s="66" t="n">
        <x:v>0.207480261376</x:v>
      </x:c>
      <x:c r="Z9" s="66" t="n">
        <x:v>0.255877709833</x:v>
      </x:c>
      <x:c r="AA9" s="66"/>
      <x:c r="AB9" s="66"/>
      <x:c r="AC9" s="66"/>
    </x:row>
    <x:row r="10">
      <x:c r="A10" s="53" t="n">
        <x:v>0.4</x:v>
      </x:c>
      <x:c r="B10" s="66" t="str">
        <x:v>дозвук</x:v>
      </x:c>
      <x:c r="C10" s="42" t="n">
        <x:v>0.016844045996</x:v>
      </x:c>
      <x:c r="D10" s="42" t="n">
        <x:v>0.064878173716</x:v>
      </x:c>
      <x:c r="E10" s="42" t="n">
        <x:v>0.258642834164</x:v>
      </x:c>
      <x:c r="F10" s="42" t="n">
        <x:f>D10-C10</x:f>
        <x:v>0.04803412772000001</x:v>
      </x:c>
      <x:c r="G10" s="42" t="n">
        <x:v>0.04834958632354286</x:v>
      </x:c>
      <x:c r="H10" s="58" t="n">
        <x:v>0.9999948047962428</x:v>
      </x:c>
      <x:c r="I10" s="42" t="n">
        <x:v>0.07</x:v>
      </x:c>
      <x:c r="J10" s="46" t="n">
        <x:f>IF(I10="","",(F10-I10)/I10)</x:f>
        <x:v>-0.3137981754285714</x:v>
      </x:c>
      <x:c r="K10" s="66" t="str">
        <x:v>direct VSPAERO</x:v>
      </x:c>
      <x:c r="L10" s="42" t="n">
        <x:v>0</x:v>
      </x:c>
      <x:c r="M10" s="66"/>
      <x:c r="N10" s="66" t="n">
        <x:f>A10</x:f>
        <x:v>0.4</x:v>
      </x:c>
      <x:c r="O10" s="66" t="n">
        <x:f>F10</x:f>
        <x:v>0.04803412772000001</x:v>
      </x:c>
      <x:c r="P10" s="66" t="n">
        <x:f>G10</x:f>
        <x:v>0.04834958632354286</x:v>
      </x:c>
      <x:c r="Q10" s="66" t="n">
        <x:f>I10</x:f>
        <x:v>0.07</x:v>
      </x:c>
      <x:c r="R10" s="66"/>
      <x:c r="S10" s="66"/>
      <x:c r="T10" s="66" t="n">
        <x:v>0.4</x:v>
      </x:c>
      <x:c r="U10" s="66" t="n">
        <x:v>0.016844045996</x:v>
      </x:c>
      <x:c r="V10" s="66" t="n">
        <x:v>0.064878173716</x:v>
      </x:c>
      <x:c r="W10" s="66" t="n">
        <x:v>0.113644890851</x:v>
      </x:c>
      <x:c r="X10" s="66" t="n">
        <x:v>0.161512024535</x:v>
      </x:c>
      <x:c r="Y10" s="66" t="n">
        <x:v>0.210002989316</x:v>
      </x:c>
      <x:c r="Z10" s="66" t="n">
        <x:v>0.258642834164</x:v>
      </x:c>
      <x:c r="AA10" s="66"/>
      <x:c r="AB10" s="66"/>
      <x:c r="AC10" s="66"/>
    </x:row>
    <x:row r="11">
      <x:c r="A11" s="53" t="n">
        <x:v>0.5</x:v>
      </x:c>
      <x:c r="B11" s="66" t="str">
        <x:v>дозвук</x:v>
      </x:c>
      <x:c r="C11" s="42" t="n">
        <x:v>0.016923964055</x:v>
      </x:c>
      <x:c r="D11" s="42" t="n">
        <x:v>0.065890019174</x:v>
      </x:c>
      <x:c r="E11" s="42" t="n">
        <x:v>0.262891142678</x:v>
      </x:c>
      <x:c r="F11" s="42" t="n">
        <x:f>D11-C11</x:f>
        <x:v>0.048966055119</x:v>
      </x:c>
      <x:c r="G11" s="42" t="n">
        <x:v>0.049210469171</x:v>
      </x:c>
      <x:c r="H11" s="58" t="n">
        <x:v>0.9999974516555071</x:v>
      </x:c>
      <x:c r="I11" s="42"/>
      <x:c r="J11" s="16" t="str">
        <x:f>IF(I11="","",(F11-I11)/I11)</x:f>
      </x:c>
      <x:c r="K11" s="66" t="str">
        <x:v>direct VSPAERO</x:v>
      </x:c>
      <x:c r="L11" s="42" t="n">
        <x:v>0</x:v>
      </x:c>
      <x:c r="M11" s="66"/>
      <x:c r="N11" s="66" t="n">
        <x:f>A11</x:f>
        <x:v>0.5</x:v>
      </x:c>
      <x:c r="O11" s="66" t="n">
        <x:f>F11</x:f>
        <x:v>0.048966055119</x:v>
      </x:c>
      <x:c r="P11" s="66" t="n">
        <x:f>G11</x:f>
        <x:v>0.049210469171</x:v>
      </x:c>
      <x:c r="Q11" s="66" t="n">
        <x:f>I11</x:f>
        <x:v>0</x:v>
      </x:c>
      <x:c r="R11" s="66"/>
      <x:c r="S11" s="66"/>
      <x:c r="T11" s="66" t="n">
        <x:v>0.5</x:v>
      </x:c>
      <x:c r="U11" s="66" t="n">
        <x:v>0.016923964055</x:v>
      </x:c>
      <x:c r="V11" s="66" t="n">
        <x:v>0.065890019174</x:v>
      </x:c>
      <x:c r="W11" s="66" t="n">
        <x:v>0.115550304306</x:v>
      </x:c>
      <x:c r="X11" s="66" t="n">
        <x:v>0.164577906928</x:v>
      </x:c>
      <x:c r="Y11" s="66" t="n">
        <x:v>0.21372432759</x:v>
      </x:c>
      <x:c r="Z11" s="66" t="n">
        <x:v>0.262891142678</x:v>
      </x:c>
      <x:c r="AA11" s="66"/>
      <x:c r="AB11" s="66"/>
      <x:c r="AC11" s="66"/>
    </x:row>
    <x:row r="12">
      <x:c r="A12" s="53" t="n">
        <x:v>0.6</x:v>
      </x:c>
      <x:c r="B12" s="66" t="str">
        <x:v>дозвук</x:v>
      </x:c>
      <x:c r="C12" s="42" t="n">
        <x:v>0.017471626806</x:v>
      </x:c>
      <x:c r="D12" s="42" t="n">
        <x:v>0.067804900789</x:v>
      </x:c>
      <x:c r="E12" s="42" t="n">
        <x:v>0.269959901455</x:v>
      </x:c>
      <x:c r="F12" s="42" t="n">
        <x:f>D12-C12</x:f>
        <x:v>0.050333273983000006</x:v>
      </x:c>
      <x:c r="G12" s="42" t="n">
        <x:v>0.05050807087688571</x:v>
      </x:c>
      <x:c r="H12" s="58" t="n">
        <x:v>0.9999953742394868</x:v>
      </x:c>
      <x:c r="I12" s="42" t="n">
        <x:v>0.075</x:v>
      </x:c>
      <x:c r="J12" s="46" t="n">
        <x:f>IF(I12="","",(F12-I12)/I12)</x:f>
        <x:v>-0.3288896802266666</x:v>
      </x:c>
      <x:c r="K12" s="66" t="str">
        <x:v>direct VSPAERO</x:v>
      </x:c>
      <x:c r="L12" s="42" t="n">
        <x:v>0</x:v>
      </x:c>
      <x:c r="M12" s="66"/>
      <x:c r="N12" s="66" t="n">
        <x:f>A12</x:f>
        <x:v>0.6</x:v>
      </x:c>
      <x:c r="O12" s="66" t="n">
        <x:f>F12</x:f>
        <x:v>0.050333273983000006</x:v>
      </x:c>
      <x:c r="P12" s="66" t="n">
        <x:f>G12</x:f>
        <x:v>0.05050807087688571</x:v>
      </x:c>
      <x:c r="Q12" s="66" t="n">
        <x:f>I12</x:f>
        <x:v>0.075</x:v>
      </x:c>
      <x:c r="R12" s="66"/>
      <x:c r="S12" s="66"/>
      <x:c r="T12" s="66" t="n">
        <x:v>0.6</x:v>
      </x:c>
      <x:c r="U12" s="66" t="n">
        <x:v>0.017471626806</x:v>
      </x:c>
      <x:c r="V12" s="66" t="n">
        <x:v>0.067804900789</x:v>
      </x:c>
      <x:c r="W12" s="66" t="n">
        <x:v>0.118904763148</x:v>
      </x:c>
      <x:c r="X12" s="66" t="n">
        <x:v>0.169127523065</x:v>
      </x:c>
      <x:c r="Y12" s="66" t="n">
        <x:v>0.219511016632</x:v>
      </x:c>
      <x:c r="Z12" s="66" t="n">
        <x:v>0.269959901455</x:v>
      </x:c>
      <x:c r="AA12" s="66"/>
      <x:c r="AB12" s="66"/>
      <x:c r="AC12" s="66"/>
    </x:row>
    <x:row r="13">
      <x:c r="A13" s="53" t="n">
        <x:v>0.7</x:v>
      </x:c>
      <x:c r="B13" s="66" t="str">
        <x:v>дозвук</x:v>
      </x:c>
      <x:c r="C13" s="42" t="n">
        <x:v>0.019773117897</x:v>
      </x:c>
      <x:c r="D13" s="42" t="n">
        <x:v>0.071668375236</x:v>
      </x:c>
      <x:c r="E13" s="42" t="n">
        <x:v>0.280100418186</x:v>
      </x:c>
      <x:c r="F13" s="42" t="n">
        <x:f>D13-C13</x:f>
        <x:v>0.05189525733900001</x:v>
      </x:c>
      <x:c r="G13" s="42" t="n">
        <x:v>0.05208390466162857</x:v>
      </x:c>
      <x:c r="H13" s="58" t="n">
        <x:v>0.9999909617880803</x:v>
      </x:c>
      <x:c r="I13" s="42"/>
      <x:c r="J13" s="16" t="str">
        <x:f>IF(I13="","",(F13-I13)/I13)</x:f>
      </x:c>
      <x:c r="K13" s="66" t="str">
        <x:v>direct VSPAERO</x:v>
      </x:c>
      <x:c r="L13" s="42" t="n">
        <x:v>0</x:v>
      </x:c>
      <x:c r="M13" s="66"/>
      <x:c r="N13" s="66" t="n">
        <x:f>A13</x:f>
        <x:v>0.7</x:v>
      </x:c>
      <x:c r="O13" s="66" t="n">
        <x:f>F13</x:f>
        <x:v>0.05189525733900001</x:v>
      </x:c>
      <x:c r="P13" s="66" t="n">
        <x:f>G13</x:f>
        <x:v>0.05208390466162857</x:v>
      </x:c>
      <x:c r="Q13" s="66" t="n">
        <x:f>I13</x:f>
        <x:v>0</x:v>
      </x:c>
      <x:c r="R13" s="66"/>
      <x:c r="S13" s="66"/>
      <x:c r="T13" s="66" t="n">
        <x:v>0.7</x:v>
      </x:c>
      <x:c r="U13" s="66" t="n">
        <x:v>0.019773117897</x:v>
      </x:c>
      <x:c r="V13" s="66" t="n">
        <x:v>0.071668375236</x:v>
      </x:c>
      <x:c r="W13" s="66" t="n">
        <x:v>0.124569326935</x:v>
      </x:c>
      <x:c r="X13" s="66" t="n">
        <x:v>0.17626888317</x:v>
      </x:c>
      <x:c r="Y13" s="66" t="n">
        <x:v>0.228201910395</x:v>
      </x:c>
      <x:c r="Z13" s="66" t="n">
        <x:v>0.280100418186</x:v>
      </x:c>
      <x:c r="AA13" s="66"/>
      <x:c r="AB13" s="66"/>
      <x:c r="AC13" s="66"/>
    </x:row>
    <x:row r="14">
      <x:c r="A14" s="53" t="n">
        <x:v>0.8</x:v>
      </x:c>
      <x:c r="B14" s="66" t="str">
        <x:v>дозвук</x:v>
      </x:c>
      <x:c r="C14" s="42" t="n">
        <x:v>0.025953259836</x:v>
      </x:c>
      <x:c r="D14" s="42" t="n">
        <x:v>0.080463545107</x:v>
      </x:c>
      <x:c r="E14" s="42" t="n">
        <x:v>0.297389695609</x:v>
      </x:c>
      <x:c r="F14" s="42" t="n">
        <x:f>D14-C14</x:f>
        <x:v>0.054510285271000006</x:v>
      </x:c>
      <x:c r="G14" s="42" t="n">
        <x:v>0.05429906561654286</x:v>
      </x:c>
      <x:c r="H14" s="58" t="n">
        <x:v>0.9999950958288489</x:v>
      </x:c>
      <x:c r="I14" s="42" t="n">
        <x:v>0.083</x:v>
      </x:c>
      <x:c r="J14" s="46" t="n">
        <x:f>IF(I14="","",(F14-I14)/I14)</x:f>
        <x:v>-0.34324957504819276</x:v>
      </x:c>
      <x:c r="K14" s="66" t="str">
        <x:v>direct VSPAERO</x:v>
      </x:c>
      <x:c r="L14" s="42" t="n">
        <x:v>0</x:v>
      </x:c>
      <x:c r="M14" s="66"/>
      <x:c r="N14" s="66" t="n">
        <x:f>A14</x:f>
        <x:v>0.8</x:v>
      </x:c>
      <x:c r="O14" s="66" t="n">
        <x:f>F14</x:f>
        <x:v>0.054510285271000006</x:v>
      </x:c>
      <x:c r="P14" s="66" t="n">
        <x:f>G14</x:f>
        <x:v>0.05429906561654286</x:v>
      </x:c>
      <x:c r="Q14" s="66" t="n">
        <x:f>I14</x:f>
        <x:v>0.083</x:v>
      </x:c>
      <x:c r="R14" s="66"/>
      <x:c r="S14" s="66"/>
      <x:c r="T14" s="66" t="n">
        <x:v>0.8</x:v>
      </x:c>
      <x:c r="U14" s="66" t="n">
        <x:v>0.025953259836</x:v>
      </x:c>
      <x:c r="V14" s="66" t="n">
        <x:v>0.080463545107</x:v>
      </x:c>
      <x:c r="W14" s="66" t="n">
        <x:v>0.13496163626</x:v>
      </x:c>
      <x:c r="X14" s="66" t="n">
        <x:v>0.189366861917</x:v>
      </x:c>
      <x:c r="Y14" s="66" t="n">
        <x:v>0.243423509126</x:v>
      </x:c>
      <x:c r="Z14" s="66" t="n">
        <x:v>0.297389695609</x:v>
      </x:c>
      <x:c r="AA14" s="66"/>
      <x:c r="AB14" s="66"/>
      <x:c r="AC14" s="66"/>
    </x:row>
    <x:row r="15">
      <x:c r="A15" s="53" t="n">
        <x:v>1.2</x:v>
      </x:c>
      <x:c r="B15" s="66" t="str">
        <x:v>сверхзвук</x:v>
      </x:c>
      <x:c r="C15" s="42" t="n">
        <x:v>0.046417138535</x:v>
      </x:c>
      <x:c r="D15" s="42" t="n">
        <x:v>0.114943670291</x:v>
      </x:c>
      <x:c r="E15" s="42" t="n">
        <x:v>0.384914101681</x:v>
      </x:c>
      <x:c r="F15" s="42" t="n">
        <x:f>D15-C15</x:f>
        <x:v>0.068526531756</x:v>
      </x:c>
      <x:c r="G15" s="42" t="n">
        <x:v>0.06775381984822856</x:v>
      </x:c>
      <x:c r="H15" s="58" t="n">
        <x:v>0.9999548865156468</x:v>
      </x:c>
      <x:c r="I15" s="42" t="n">
        <x:v>0.099</x:v>
      </x:c>
      <x:c r="J15" s="46" t="n">
        <x:f>IF(I15="","",(F15-I15)/I15)</x:f>
        <x:v>-0.30781281054545456</x:v>
      </x:c>
      <x:c r="K15" s="66" t="str">
        <x:v>direct VSPAERO</x:v>
      </x:c>
      <x:c r="L15" s="42" t="n">
        <x:v>0</x:v>
      </x:c>
      <x:c r="M15" s="66"/>
      <x:c r="N15" s="66" t="n">
        <x:f>A15</x:f>
        <x:v>1.2</x:v>
      </x:c>
      <x:c r="O15" s="66" t="n">
        <x:f>F15</x:f>
        <x:v>0.068526531756</x:v>
      </x:c>
      <x:c r="P15" s="66" t="n">
        <x:f>G15</x:f>
        <x:v>0.06775381984822856</x:v>
      </x:c>
      <x:c r="Q15" s="66" t="n">
        <x:f>I15</x:f>
        <x:v>0.099</x:v>
      </x:c>
      <x:c r="R15" s="66"/>
      <x:c r="S15" s="66"/>
      <x:c r="T15" s="66" t="n">
        <x:v>1.2</x:v>
      </x:c>
      <x:c r="U15" s="66" t="n">
        <x:v>0.046417138535</x:v>
      </x:c>
      <x:c r="V15" s="66" t="n">
        <x:v>0.114943670291</x:v>
      </x:c>
      <x:c r="W15" s="66" t="n">
        <x:v>0.183607953871</x:v>
      </x:c>
      <x:c r="X15" s="66" t="n">
        <x:v>0.251433366266</x:v>
      </x:c>
      <x:c r="Y15" s="66" t="n">
        <x:v>0.318634825812</x:v>
      </x:c>
      <x:c r="Z15" s="66" t="n">
        <x:v>0.384914101681</x:v>
      </x:c>
      <x:c r="AA15" s="66"/>
      <x:c r="AB15" s="66"/>
      <x:c r="AC15" s="66"/>
    </x:row>
    <x:row r="16">
      <x:c r="A16" s="53" t="n">
        <x:v>1.3</x:v>
      </x:c>
      <x:c r="B16" s="66" t="str">
        <x:v>сверхзвук</x:v>
      </x:c>
      <x:c r="C16" s="42" t="n">
        <x:v>0.042570594718</x:v>
      </x:c>
      <x:c r="D16" s="42" t="n">
        <x:v>0.107074219844</x:v>
      </x:c>
      <x:c r="E16" s="42" t="n">
        <x:v>0.362392544422</x:v>
      </x:c>
      <x:c r="F16" s="42" t="n">
        <x:f>D16-C16</x:f>
        <x:v>0.064503625126</x:v>
      </x:c>
      <x:c r="G16" s="42" t="n">
        <x:v>0.06402389579245714</x:v>
      </x:c>
      <x:c r="H16" s="58" t="n">
        <x:v>0.9999738470890087</x:v>
      </x:c>
      <x:c r="I16" s="42" t="n">
        <x:v>0.09</x:v>
      </x:c>
      <x:c r="J16" s="46" t="n">
        <x:f>IF(I16="","",(F16-I16)/I16)</x:f>
        <x:v>-0.28329305415555556</x:v>
      </x:c>
      <x:c r="K16" s="66" t="str">
        <x:v>direct VSPAERO</x:v>
      </x:c>
      <x:c r="L16" s="42" t="n">
        <x:v>0</x:v>
      </x:c>
      <x:c r="M16" s="66"/>
      <x:c r="N16" s="66" t="n">
        <x:f>A16</x:f>
        <x:v>1.3</x:v>
      </x:c>
      <x:c r="O16" s="66" t="n">
        <x:f>F16</x:f>
        <x:v>0.064503625126</x:v>
      </x:c>
      <x:c r="P16" s="66" t="n">
        <x:f>G16</x:f>
        <x:v>0.06402389579245714</x:v>
      </x:c>
      <x:c r="Q16" s="66" t="n">
        <x:f>I16</x:f>
        <x:v>0.09</x:v>
      </x:c>
      <x:c r="R16" s="66"/>
      <x:c r="S16" s="66"/>
      <x:c r="T16" s="66" t="n">
        <x:v>1.3</x:v>
      </x:c>
      <x:c r="U16" s="66" t="n">
        <x:v>0.042570594718</x:v>
      </x:c>
      <x:c r="V16" s="66" t="n">
        <x:v>0.107074219844</x:v>
      </x:c>
      <x:c r="W16" s="66" t="n">
        <x:v>0.171683083807</x:v>
      </x:c>
      <x:c r="X16" s="66" t="n">
        <x:v>0.23586054706</x:v>
      </x:c>
      <x:c r="Y16" s="66" t="n">
        <x:v>0.299590600165</x:v>
      </x:c>
      <x:c r="Z16" s="66" t="n">
        <x:v>0.362392544422</x:v>
      </x:c>
      <x:c r="AA16" s="66"/>
      <x:c r="AB16" s="66"/>
      <x:c r="AC16" s="66"/>
    </x:row>
    <x:row r="17">
      <x:c r="A17" s="56" t="n">
        <x:v>1.4</x:v>
      </x:c>
      <x:c r="B17" s="44" t="str">
        <x:v>сверхзвук</x:v>
      </x:c>
      <x:c r="C17" s="57" t="n">
        <x:v>0.042940847026333336</x:v>
      </x:c>
      <x:c r="D17" s="57" t="n">
        <x:v>0.105060428093</x:v>
      </x:c>
      <x:c r="E17" s="57" t="n">
        <x:v>0.34952442890766666</x:v>
      </x:c>
      <x:c r="F17" s="57" t="n">
        <x:f>D17-C17</x:f>
        <x:v>0.06211958106666666</x:v>
      </x:c>
      <x:c r="G17" s="57" t="n">
        <x:v>0.06136636190985715</x:v>
      </x:c>
      <x:c r="H17" s="59" t="n">
        <x:v>0.9999583827143333</x:v>
      </x:c>
      <x:c r="I17" s="57"/>
      <x:c r="J17" s="47" t="str">
        <x:f>IF(I17="","",(F17-I17)/I17)</x:f>
      </x:c>
      <x:c r="K17" s="44" t="str">
        <x:v>interpolation M1.3-M1.6</x:v>
      </x:c>
      <x:c r="L17" s="57" t="n">
        <x:v>0.019302173271499995</x:v>
      </x:c>
      <x:c r="M17" s="66"/>
      <x:c r="N17" s="66" t="n">
        <x:f>A17</x:f>
        <x:v>1.4</x:v>
      </x:c>
      <x:c r="O17" s="66" t="n">
        <x:f>F17</x:f>
        <x:v>0.06211958106666666</x:v>
      </x:c>
      <x:c r="P17" s="66" t="n">
        <x:f>G17</x:f>
        <x:v>0.06136636190985715</x:v>
      </x:c>
      <x:c r="Q17" s="66" t="n">
        <x:f>I17</x:f>
        <x:v>0</x:v>
      </x:c>
      <x:c r="R17" s="66"/>
      <x:c r="S17" s="66"/>
      <x:c r="T17" s="66" t="n">
        <x:v>1.4</x:v>
      </x:c>
      <x:c r="U17" s="66" t="n">
        <x:v>0.042940847026333336</x:v>
      </x:c>
      <x:c r="V17" s="66" t="n">
        <x:v>0.105060428093</x:v>
      </x:c>
      <x:c r="W17" s="66" t="n">
        <x:v>0.1670754767006667</x:v>
      </x:c>
      <x:c r="X17" s="66" t="n">
        <x:v>0.22857835726900003</x:v>
      </x:c>
      <x:c r="Y17" s="66" t="n">
        <x:v>0.289527720383</x:v>
      </x:c>
      <x:c r="Z17" s="66" t="n">
        <x:v>0.34952442890766666</x:v>
      </x:c>
      <x:c r="AA17" s="66"/>
      <x:c r="AB17" s="66"/>
      <x:c r="AC17" s="66"/>
    </x:row>
    <x:row r="18">
      <x:c r="A18" s="56" t="n">
        <x:v>1.5</x:v>
      </x:c>
      <x:c r="B18" s="44" t="str">
        <x:v>сверхзвук</x:v>
      </x:c>
      <x:c r="C18" s="57" t="n">
        <x:v>0.04331109933466667</x:v>
      </x:c>
      <x:c r="D18" s="57" t="n">
        <x:v>0.103046636342</x:v>
      </x:c>
      <x:c r="E18" s="57" t="n">
        <x:v>0.33665631339333335</x:v>
      </x:c>
      <x:c r="F18" s="57" t="n">
        <x:f>D18-C18</x:f>
        <x:v>0.05973553700733333</x:v>
      </x:c>
      <x:c r="G18" s="57" t="n">
        <x:v>0.05870882802725714</x:v>
      </x:c>
      <x:c r="H18" s="59" t="n">
        <x:v>0.9999368043119267</x:v>
      </x:c>
      <x:c r="I18" s="57" t="n">
        <x:v>0.073</x:v>
      </x:c>
      <x:c r="J18" s="47" t="n">
        <x:f>IF(I18="","",(F18-I18)/I18)</x:f>
        <x:v>-0.18170497250228315</x:v>
      </x:c>
      <x:c r="K18" s="44" t="str">
        <x:v>interpolation M1.3-M1.6</x:v>
      </x:c>
      <x:c r="L18" s="57" t="n">
        <x:v>0.019302173271499995</x:v>
      </x:c>
      <x:c r="M18" s="66"/>
      <x:c r="N18" s="66" t="n">
        <x:f>A18</x:f>
        <x:v>1.5</x:v>
      </x:c>
      <x:c r="O18" s="66" t="n">
        <x:f>F18</x:f>
        <x:v>0.05973553700733333</x:v>
      </x:c>
      <x:c r="P18" s="66" t="n">
        <x:f>G18</x:f>
        <x:v>0.05870882802725714</x:v>
      </x:c>
      <x:c r="Q18" s="66" t="n">
        <x:f>I18</x:f>
        <x:v>0.073</x:v>
      </x:c>
      <x:c r="R18" s="66"/>
      <x:c r="S18" s="66"/>
      <x:c r="T18" s="66" t="n">
        <x:v>1.5</x:v>
      </x:c>
      <x:c r="U18" s="66" t="n">
        <x:v>0.04331109933466667</x:v>
      </x:c>
      <x:c r="V18" s="66" t="n">
        <x:v>0.103046636342</x:v>
      </x:c>
      <x:c r="W18" s="66" t="n">
        <x:v>0.16246786959433335</x:v>
      </x:c>
      <x:c r="X18" s="66" t="n">
        <x:v>0.22129616747800002</x:v>
      </x:c>
      <x:c r="Y18" s="66" t="n">
        <x:v>0.27946484060099996</x:v>
      </x:c>
      <x:c r="Z18" s="66" t="n">
        <x:v>0.33665631339333335</x:v>
      </x:c>
      <x:c r="AA18" s="66"/>
      <x:c r="AB18" s="66"/>
      <x:c r="AC18" s="66"/>
    </x:row>
    <x:row r="19">
      <x:c r="A19" s="53" t="n">
        <x:v>1.6</x:v>
      </x:c>
      <x:c r="B19" s="66" t="str">
        <x:v>сверхзвук</x:v>
      </x:c>
      <x:c r="C19" s="42" t="n">
        <x:v>0.043681351643</x:v>
      </x:c>
      <x:c r="D19" s="42" t="n">
        <x:v>0.101032844591</x:v>
      </x:c>
      <x:c r="E19" s="42" t="n">
        <x:v>0.323788197879</x:v>
      </x:c>
      <x:c r="F19" s="42" t="n">
        <x:f>D19-C19</x:f>
        <x:v>0.057351492947999995</x:v>
      </x:c>
      <x:c r="G19" s="42" t="n">
        <x:v>0.05605129414465714</x:v>
      </x:c>
      <x:c r="H19" s="58" t="n">
        <x:v>0.9999075406796943</x:v>
      </x:c>
      <x:c r="I19" s="42"/>
      <x:c r="J19" s="16" t="str">
        <x:f>IF(I19="","",(F19-I19)/I19)</x:f>
      </x:c>
      <x:c r="K19" s="66" t="str">
        <x:v>direct VSPAERO</x:v>
      </x:c>
      <x:c r="L19" s="42" t="n">
        <x:v>0</x:v>
      </x:c>
      <x:c r="M19" s="66"/>
      <x:c r="N19" s="66" t="n">
        <x:f>A19</x:f>
        <x:v>1.6</x:v>
      </x:c>
      <x:c r="O19" s="66" t="n">
        <x:f>F19</x:f>
        <x:v>0.057351492947999995</x:v>
      </x:c>
      <x:c r="P19" s="66" t="n">
        <x:f>G19</x:f>
        <x:v>0.05605129414465714</x:v>
      </x:c>
      <x:c r="Q19" s="66" t="n">
        <x:f>I19</x:f>
        <x:v>0</x:v>
      </x:c>
      <x:c r="R19" s="66"/>
      <x:c r="S19" s="66"/>
      <x:c r="T19" s="66" t="n">
        <x:v>1.6</x:v>
      </x:c>
      <x:c r="U19" s="66" t="n">
        <x:v>0.043681351643</x:v>
      </x:c>
      <x:c r="V19" s="66" t="n">
        <x:v>0.101032844591</x:v>
      </x:c>
      <x:c r="W19" s="66" t="n">
        <x:v>0.157860262488</x:v>
      </x:c>
      <x:c r="X19" s="66" t="n">
        <x:v>0.214013977687</x:v>
      </x:c>
      <x:c r="Y19" s="66" t="n">
        <x:v>0.269401960819</x:v>
      </x:c>
      <x:c r="Z19" s="66" t="n">
        <x:v>0.323788197879</x:v>
      </x:c>
      <x:c r="AA19" s="66"/>
      <x:c r="AB19" s="66"/>
      <x:c r="AC19" s="66"/>
    </x:row>
    <x:row r="20">
      <x:c r="A20" s="53" t="n">
        <x:v>1.7</x:v>
      </x:c>
      <x:c r="B20" s="66" t="str">
        <x:v>сверхзвук</x:v>
      </x:c>
      <x:c r="C20" s="42" t="n">
        <x:v>0.035966969673</x:v>
      </x:c>
      <x:c r="D20" s="42" t="n">
        <x:v>0.093365102857</x:v>
      </x:c>
      <x:c r="E20" s="42" t="n">
        <x:v>0.308756888692</x:v>
      </x:c>
      <x:c r="F20" s="42" t="n">
        <x:f>D20-C20</x:f>
        <x:v>0.05739813318400001</x:v>
      </x:c>
      <x:c r="G20" s="42" t="n">
        <x:v>0.054483000532514286</x:v>
      </x:c>
      <x:c r="H20" s="58" t="n">
        <x:v>0.9997869339010154</x:v>
      </x:c>
      <x:c r="I20" s="42" t="n">
        <x:v>0.062</x:v>
      </x:c>
      <x:c r="J20" s="47" t="n">
        <x:f>IF(I20="","",(F20-I20)/I20)</x:f>
        <x:v>-0.07422365832258053</x:v>
      </x:c>
      <x:c r="K20" s="66" t="str">
        <x:v>direct VSPAERO</x:v>
      </x:c>
      <x:c r="L20" s="42" t="n">
        <x:v>0</x:v>
      </x:c>
      <x:c r="M20" s="66"/>
      <x:c r="N20" s="66" t="n">
        <x:f>A20</x:f>
        <x:v>1.7</x:v>
      </x:c>
      <x:c r="O20" s="66" t="n">
        <x:f>F20</x:f>
        <x:v>0.05739813318400001</x:v>
      </x:c>
      <x:c r="P20" s="66" t="n">
        <x:f>G20</x:f>
        <x:v>0.054483000532514286</x:v>
      </x:c>
      <x:c r="Q20" s="66" t="n">
        <x:f>I20</x:f>
        <x:v>0.062</x:v>
      </x:c>
      <x:c r="R20" s="66"/>
      <x:c r="S20" s="66"/>
      <x:c r="T20" s="66" t="n">
        <x:v>1.7</x:v>
      </x:c>
      <x:c r="U20" s="66" t="n">
        <x:v>0.035966969673</x:v>
      </x:c>
      <x:c r="V20" s="66" t="n">
        <x:v>0.093365102857</x:v>
      </x:c>
      <x:c r="W20" s="66" t="n">
        <x:v>0.148340248584</x:v>
      </x:c>
      <x:c r="X20" s="66" t="n">
        <x:v>0.202641112341</x:v>
      </x:c>
      <x:c r="Y20" s="66" t="n">
        <x:v>0.256249956119</x:v>
      </x:c>
      <x:c r="Z20" s="66" t="n">
        <x:v>0.308756888692</x:v>
      </x:c>
      <x:c r="AA20" s="66"/>
      <x:c r="AB20" s="66"/>
      <x:c r="AC20" s="66"/>
    </x:row>
    <x:row r="21">
      <x:c r="A21" s="53" t="n">
        <x:v>1.8</x:v>
      </x:c>
      <x:c r="B21" s="66" t="str">
        <x:v>сверхзвук</x:v>
      </x:c>
      <x:c r="C21" s="42" t="n">
        <x:v>0.03781069549</x:v>
      </x:c>
      <x:c r="D21" s="42" t="n">
        <x:v>0.090559634808</x:v>
      </x:c>
      <x:c r="E21" s="42" t="n">
        <x:v>0.309657182557</x:v>
      </x:c>
      <x:c r="F21" s="42" t="n">
        <x:f>D21-C21</x:f>
        <x:v>0.052748939318</x:v>
      </x:c>
      <x:c r="G21" s="42" t="n">
        <x:v>0.05446165911811429</x:v>
      </x:c>
      <x:c r="H21" s="58" t="n">
        <x:v>0.9999358897541623</x:v>
      </x:c>
      <x:c r="I21" s="42"/>
      <x:c r="J21" s="16" t="str">
        <x:f>IF(I21="","",(F21-I21)/I21)</x:f>
      </x:c>
      <x:c r="K21" s="66" t="str">
        <x:v>direct VSPAERO</x:v>
      </x:c>
      <x:c r="L21" s="42" t="n">
        <x:v>0</x:v>
      </x:c>
      <x:c r="M21" s="66"/>
      <x:c r="N21" s="66" t="n">
        <x:f>A21</x:f>
        <x:v>1.8</x:v>
      </x:c>
      <x:c r="O21" s="66" t="n">
        <x:f>F21</x:f>
        <x:v>0.052748939318</x:v>
      </x:c>
      <x:c r="P21" s="66" t="n">
        <x:f>G21</x:f>
        <x:v>0.05446165911811429</x:v>
      </x:c>
      <x:c r="Q21" s="66" t="n">
        <x:f>I21</x:f>
        <x:v>0</x:v>
      </x:c>
      <x:c r="R21" s="66"/>
      <x:c r="S21" s="66"/>
      <x:c r="T21" s="66" t="n">
        <x:v>1.8</x:v>
      </x:c>
      <x:c r="U21" s="66" t="n">
        <x:v>0.03781069549</x:v>
      </x:c>
      <x:c r="V21" s="66" t="n">
        <x:v>0.090559634808</x:v>
      </x:c>
      <x:c r="W21" s="66" t="n">
        <x:v>0.144663545594</x:v>
      </x:c>
      <x:c r="X21" s="66" t="n">
        <x:v>0.199444553059</x:v>
      </x:c>
      <x:c r="Y21" s="66" t="n">
        <x:v>0.254607843586</x:v>
      </x:c>
      <x:c r="Z21" s="66" t="n">
        <x:v>0.309657182557</x:v>
      </x:c>
      <x:c r="AA21" s="66"/>
      <x:c r="AB21" s="66"/>
      <x:c r="AC21" s="66"/>
    </x:row>
    <x:row r="22">
      <x:c r="A22" s="56" t="n">
        <x:v>1.9</x:v>
      </x:c>
      <x:c r="B22" s="44" t="str">
        <x:v>сверхзвук</x:v>
      </x:c>
      <x:c r="C22" s="57" t="n">
        <x:v>0.0357583730695</x:v>
      </x:c>
      <x:c r="D22" s="57" t="n">
        <x:v>0.0857928884565</x:v>
      </x:c>
      <x:c r="E22" s="57" t="n">
        <x:v>0.29096698221225004</x:v>
      </x:c>
      <x:c r="F22" s="57" t="n">
        <x:f>D22-C22</x:f>
        <x:v>0.050034515387</x:v>
      </x:c>
      <x:c r="G22" s="57" t="n">
        <x:v>0.05112303022455001</x:v>
      </x:c>
      <x:c r="H22" s="59" t="n">
        <x:v>0.9999781600131491</x:v>
      </x:c>
      <x:c r="I22" s="57"/>
      <x:c r="J22" s="47" t="str">
        <x:f>IF(I22="","",(F22-I22)/I22)</x:f>
      </x:c>
      <x:c r="K22" s="44" t="str">
        <x:v>interpolation M1.8-M2.2</x:v>
      </x:c>
      <x:c r="L22" s="57" t="n">
        <x:v>0.03738040068949999</x:v>
      </x:c>
      <x:c r="M22" s="66"/>
      <x:c r="N22" s="66" t="n">
        <x:f>A22</x:f>
        <x:v>1.9</x:v>
      </x:c>
      <x:c r="O22" s="66" t="n">
        <x:f>F22</x:f>
        <x:v>0.050034515387</x:v>
      </x:c>
      <x:c r="P22" s="66" t="n">
        <x:f>G22</x:f>
        <x:v>0.05112303022455001</x:v>
      </x:c>
      <x:c r="Q22" s="66" t="n">
        <x:f>I22</x:f>
        <x:v>0</x:v>
      </x:c>
      <x:c r="R22" s="66"/>
      <x:c r="S22" s="66"/>
      <x:c r="T22" s="66" t="n">
        <x:v>1.9</x:v>
      </x:c>
      <x:c r="U22" s="66" t="n">
        <x:v>0.0357583730695</x:v>
      </x:c>
      <x:c r="V22" s="66" t="n">
        <x:v>0.0857928884565</x:v>
      </x:c>
      <x:c r="W22" s="66" t="n">
        <x:v>0.13684622052775</x:v>
      </x:c>
      <x:c r="X22" s="66" t="n">
        <x:v>0.1882563553275</x:v>
      </x:c>
      <x:c r="Y22" s="66" t="n">
        <x:v>0.23974384757175005</x:v>
      </x:c>
      <x:c r="Z22" s="66" t="n">
        <x:v>0.29096698221225004</x:v>
      </x:c>
      <x:c r="AA22" s="66"/>
      <x:c r="AB22" s="66"/>
      <x:c r="AC22" s="66"/>
    </x:row>
    <x:row r="23">
      <x:c r="A23" s="56" t="n">
        <x:v>2</x:v>
      </x:c>
      <x:c r="B23" s="44" t="str">
        <x:v>сверхзвук</x:v>
      </x:c>
      <x:c r="C23" s="57" t="n">
        <x:v>0.033706050649</x:v>
      </x:c>
      <x:c r="D23" s="57" t="n">
        <x:v>0.081026142105</x:v>
      </x:c>
      <x:c r="E23" s="57" t="n">
        <x:v>0.2722767818675</x:v>
      </x:c>
      <x:c r="F23" s="57" t="n">
        <x:f>D23-C23</x:f>
        <x:v>0.047320091456</x:v>
      </x:c>
      <x:c r="G23" s="57" t="n">
        <x:v>0.047784401330985715</x:v>
      </x:c>
      <x:c r="H23" s="59" t="n">
        <x:v>0.9999942773743833</x:v>
      </x:c>
      <x:c r="I23" s="57" t="n">
        <x:v>0.053</x:v>
      </x:c>
      <x:c r="J23" s="47" t="n">
        <x:f>IF(I23="","",(F23-I23)/I23)</x:f>
        <x:v>-0.10716808573584898</x:v>
      </x:c>
      <x:c r="K23" s="44" t="str">
        <x:v>interpolation M1.8-M2.2</x:v>
      </x:c>
      <x:c r="L23" s="57" t="n">
        <x:v>0.03738040068949999</x:v>
      </x:c>
      <x:c r="M23" s="66"/>
      <x:c r="N23" s="66" t="n">
        <x:f>A23</x:f>
        <x:v>2</x:v>
      </x:c>
      <x:c r="O23" s="66" t="n">
        <x:f>F23</x:f>
        <x:v>0.047320091456</x:v>
      </x:c>
      <x:c r="P23" s="66" t="n">
        <x:f>G23</x:f>
        <x:v>0.047784401330985715</x:v>
      </x:c>
      <x:c r="Q23" s="66" t="n">
        <x:f>I23</x:f>
        <x:v>0.053</x:v>
      </x:c>
      <x:c r="R23" s="66"/>
      <x:c r="S23" s="66"/>
      <x:c r="T23" s="66" t="n">
        <x:v>2</x:v>
      </x:c>
      <x:c r="U23" s="66" t="n">
        <x:v>0.033706050649</x:v>
      </x:c>
      <x:c r="V23" s="66" t="n">
        <x:v>0.081026142105</x:v>
      </x:c>
      <x:c r="W23" s="66" t="n">
        <x:v>0.1290288954615</x:v>
      </x:c>
      <x:c r="X23" s="66" t="n">
        <x:v>0.17706815759600003</x:v>
      </x:c>
      <x:c r="Y23" s="66" t="n">
        <x:v>0.22487985155750004</x:v>
      </x:c>
      <x:c r="Z23" s="66" t="n">
        <x:v>0.2722767818675</x:v>
      </x:c>
      <x:c r="AA23" s="66"/>
      <x:c r="AB23" s="66"/>
      <x:c r="AC23" s="66"/>
    </x:row>
    <x:row r="24">
      <x:c r="A24" s="56" t="n">
        <x:v>2.1</x:v>
      </x:c>
      <x:c r="B24" s="44" t="str">
        <x:v>сверхзвук</x:v>
      </x:c>
      <x:c r="C24" s="57" t="n">
        <x:v>0.0316537282285</x:v>
      </x:c>
      <x:c r="D24" s="57" t="n">
        <x:v>0.07625939575349999</x:v>
      </x:c>
      <x:c r="E24" s="57" t="n">
        <x:v>0.25358658152275</x:v>
      </x:c>
      <x:c r="F24" s="57" t="n">
        <x:f>D24-C24</x:f>
        <x:v>0.04460566752499999</x:v>
      </x:c>
      <x:c r="G24" s="57" t="n">
        <x:v>0.04444577243742143</x:v>
      </x:c>
      <x:c r="H24" s="59" t="n">
        <x:v>0.9999705773838379</x:v>
      </x:c>
      <x:c r="I24" s="57"/>
      <x:c r="J24" s="47" t="str">
        <x:f>IF(I24="","",(F24-I24)/I24)</x:f>
      </x:c>
      <x:c r="K24" s="44" t="str">
        <x:v>interpolation M1.8-M2.2</x:v>
      </x:c>
      <x:c r="L24" s="57" t="n">
        <x:v>0.03738040068949999</x:v>
      </x:c>
      <x:c r="M24" s="66"/>
      <x:c r="N24" s="66" t="n">
        <x:f>A24</x:f>
        <x:v>2.1</x:v>
      </x:c>
      <x:c r="O24" s="66" t="n">
        <x:f>F24</x:f>
        <x:v>0.04460566752499999</x:v>
      </x:c>
      <x:c r="P24" s="66" t="n">
        <x:f>G24</x:f>
        <x:v>0.04444577243742143</x:v>
      </x:c>
      <x:c r="Q24" s="66" t="n">
        <x:f>I24</x:f>
        <x:v>0</x:v>
      </x:c>
      <x:c r="R24" s="66"/>
      <x:c r="S24" s="66"/>
      <x:c r="T24" s="66" t="n">
        <x:v>2.1</x:v>
      </x:c>
      <x:c r="U24" s="66" t="n">
        <x:v>0.0316537282285</x:v>
      </x:c>
      <x:c r="V24" s="66" t="n">
        <x:v>0.07625939575349999</x:v>
      </x:c>
      <x:c r="W24" s="66" t="n">
        <x:v>0.12121157039525</x:v>
      </x:c>
      <x:c r="X24" s="66" t="n">
        <x:v>0.16587995986450002</x:v>
      </x:c>
      <x:c r="Y24" s="66" t="n">
        <x:v>0.21001585554325</x:v>
      </x:c>
      <x:c r="Z24" s="66" t="n">
        <x:v>0.25358658152275</x:v>
      </x:c>
      <x:c r="AA24" s="66"/>
      <x:c r="AB24" s="66"/>
      <x:c r="AC24" s="66"/>
    </x:row>
    <x:row r="25">
      <x:c r="A25" s="53" t="n">
        <x:v>2.2</x:v>
      </x:c>
      <x:c r="B25" s="66" t="str">
        <x:v>сверхзвук</x:v>
      </x:c>
      <x:c r="C25" s="42" t="n">
        <x:v>0.029601405808</x:v>
      </x:c>
      <x:c r="D25" s="42" t="n">
        <x:v>0.071492649402</x:v>
      </x:c>
      <x:c r="E25" s="42" t="n">
        <x:v>0.234896381178</x:v>
      </x:c>
      <x:c r="F25" s="42" t="n">
        <x:f>D25-C25</x:f>
        <x:v>0.041891243594</x:v>
      </x:c>
      <x:c r="G25" s="42" t="n">
        <x:v>0.04110714354385714</x:v>
      </x:c>
      <x:c r="H25" s="58" t="n">
        <x:v>0.9998862402579612</x:v>
      </x:c>
      <x:c r="I25" s="42"/>
      <x:c r="J25" s="16" t="str">
        <x:f>IF(I25="","",(F25-I25)/I25)</x:f>
      </x:c>
      <x:c r="K25" s="66" t="str">
        <x:v>direct VSPAERO</x:v>
      </x:c>
      <x:c r="L25" s="42" t="n">
        <x:v>0</x:v>
      </x:c>
      <x:c r="M25" s="66"/>
      <x:c r="N25" s="66" t="n">
        <x:f>A25</x:f>
        <x:v>2.2</x:v>
      </x:c>
      <x:c r="O25" s="66" t="n">
        <x:f>F25</x:f>
        <x:v>0.041891243594</x:v>
      </x:c>
      <x:c r="P25" s="66" t="n">
        <x:f>G25</x:f>
        <x:v>0.04110714354385714</x:v>
      </x:c>
      <x:c r="Q25" s="66" t="n">
        <x:f>I25</x:f>
        <x:v>0</x:v>
      </x:c>
      <x:c r="R25" s="66"/>
      <x:c r="S25" s="66"/>
      <x:c r="T25" s="66" t="n">
        <x:v>2.2</x:v>
      </x:c>
      <x:c r="U25" s="66" t="n">
        <x:v>0.029601405808</x:v>
      </x:c>
      <x:c r="V25" s="66" t="n">
        <x:v>0.071492649402</x:v>
      </x:c>
      <x:c r="W25" s="66" t="n">
        <x:v>0.113394245329</x:v>
      </x:c>
      <x:c r="X25" s="66" t="n">
        <x:v>0.154691762133</x:v>
      </x:c>
      <x:c r="Y25" s="66" t="n">
        <x:v>0.195151859529</x:v>
      </x:c>
      <x:c r="Z25" s="66" t="n">
        <x:v>0.234896381178</x:v>
      </x:c>
      <x:c r="AA25" s="66"/>
      <x:c r="AB25" s="66"/>
      <x:c r="AC25" s="66"/>
    </x:row>
    <x:row r="26">
      <x:c r="A26" s="66"/>
      <x:c r="B26" s="66"/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  <x:c r="R26" s="66"/>
      <x:c r="S26" s="66"/>
      <x:c r="T26" s="66"/>
      <x:c r="U26" s="66"/>
      <x:c r="V26" s="66"/>
      <x:c r="W26" s="66"/>
      <x:c r="X26" s="66"/>
      <x:c r="Y26" s="66"/>
      <x:c r="Z26" s="66"/>
      <x:c r="AA26" s="66"/>
      <x:c r="AB26" s="66"/>
      <x:c r="AC26" s="66"/>
    </x:row>
    <x:row r="27">
      <x:c r="A27" s="66"/>
      <x:c r="B27" s="66"/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  <x:c r="R27" s="66"/>
      <x:c r="S27" s="66"/>
      <x:c r="T27" s="66"/>
      <x:c r="U27" s="66"/>
      <x:c r="V27" s="66"/>
      <x:c r="W27" s="66"/>
      <x:c r="X27" s="66"/>
      <x:c r="Y27" s="66"/>
      <x:c r="Z27" s="66"/>
      <x:c r="AA27" s="66"/>
      <x:c r="AB27" s="66"/>
      <x:c r="AC27" s="66"/>
    </x:row>
    <x:row r="28">
      <x:c r="A28" s="66"/>
      <x:c r="B28" s="66"/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  <x:c r="R28" s="66"/>
      <x:c r="S28" s="66"/>
      <x:c r="T28" s="66"/>
      <x:c r="U28" s="66"/>
      <x:c r="V28" s="66"/>
      <x:c r="W28" s="66"/>
      <x:c r="X28" s="66"/>
      <x:c r="Y28" s="66"/>
      <x:c r="Z28" s="66"/>
      <x:c r="AA28" s="66"/>
      <x:c r="AB28" s="66"/>
      <x:c r="AC28" s="66"/>
    </x:row>
    <x:row r="29">
      <x:c r="A29" s="36" t="str">
        <x:v>M</x:v>
      </x:c>
      <x:c r="B29" s="36" t="str">
        <x:v>Режим</x:v>
      </x:c>
      <x:c r="C29" s="36" t="str">
        <x:v>α, °</x:v>
      </x:c>
      <x:c r="D29" s="36" t="str">
        <x:v>Cy</x:v>
      </x:c>
      <x:c r="E29" s="36" t="str">
        <x:v>Cx</x:v>
      </x:c>
      <x:c r="F29" s="36" t="str">
        <x:v>CMy</x:v>
      </x:c>
      <x:c r="G29" s="36" t="str">
        <x:v>ΔCy за 1°</x:v>
      </x:c>
      <x:c r="H29" s="36" t="str">
        <x:v>Статус</x:v>
      </x:c>
      <x:c r="I29" s="36" t="str">
        <x:v>Метод</x:v>
      </x:c>
      <x:c r="J29" s="36" t="str">
        <x:v>Неопределённость Cy</x:v>
      </x:c>
      <x:c r="K29" s="66"/>
      <x:c r="L29" s="66"/>
      <x:c r="M29" s="66"/>
      <x:c r="N29" s="66"/>
      <x:c r="O29" s="66"/>
      <x:c r="P29" s="66"/>
      <x:c r="Q29" s="66"/>
      <x:c r="R29" s="66"/>
      <x:c r="S29" s="66"/>
      <x:c r="T29" s="66"/>
      <x:c r="U29" s="66"/>
      <x:c r="V29" s="66"/>
      <x:c r="W29" s="66"/>
      <x:c r="X29" s="66"/>
      <x:c r="Y29" s="66"/>
      <x:c r="Z29" s="66"/>
      <x:c r="AA29" s="66"/>
      <x:c r="AB29" s="66"/>
      <x:c r="AC29" s="66"/>
    </x:row>
    <x:row r="30">
      <x:c r="A30" s="53" t="n">
        <x:v>0</x:v>
      </x:c>
      <x:c r="B30" s="66" t="str">
        <x:v>дозвук</x:v>
      </x:c>
      <x:c r="C30" s="53" t="n">
        <x:v>0</x:v>
      </x:c>
      <x:c r="D30" s="42" t="n">
        <x:v>0.017819646497</x:v>
      </x:c>
      <x:c r="E30" s="42" t="n">
        <x:v>0.008390330957</x:v>
      </x:c>
      <x:c r="F30" s="42" t="n">
        <x:v>0.014895345328</x:v>
      </x:c>
      <x:c r="G30" s="42"/>
      <x:c r="H30" s="66" t="str">
        <x:v>direct VSPAERO</x:v>
      </x:c>
      <x:c r="I30" s="66" t="str">
        <x:v>direct VSPAERO full corrected closed model; GO incidence from VSP model</x:v>
      </x:c>
      <x:c r="J30" s="42" t="n">
        <x:v>0</x:v>
      </x:c>
      <x:c r="K30" s="66"/>
      <x:c r="L30" s="66"/>
      <x:c r="M30" s="66"/>
      <x:c r="N30" s="66"/>
      <x:c r="O30" s="66"/>
      <x:c r="P30" s="66"/>
      <x:c r="Q30" s="66"/>
      <x:c r="R30" s="66"/>
      <x:c r="S30" s="66"/>
      <x:c r="T30" s="66"/>
      <x:c r="U30" s="66"/>
      <x:c r="V30" s="66"/>
      <x:c r="W30" s="66"/>
      <x:c r="X30" s="66"/>
      <x:c r="Y30" s="66"/>
      <x:c r="Z30" s="66"/>
      <x:c r="AA30" s="66"/>
      <x:c r="AB30" s="66"/>
      <x:c r="AC30" s="66"/>
    </x:row>
    <x:row r="31">
      <x:c r="A31" s="53" t="n">
        <x:v>0</x:v>
      </x:c>
      <x:c r="B31" s="66" t="str">
        <x:v>дозвук</x:v>
      </x:c>
      <x:c r="C31" s="53" t="n">
        <x:v>1</x:v>
      </x:c>
      <x:c r="D31" s="42" t="n">
        <x:v>0.064104504271</x:v>
      </x:c>
      <x:c r="E31" s="42" t="n">
        <x:v>0.009185164123</x:v>
      </x:c>
      <x:c r="F31" s="42" t="n">
        <x:v>-0.019886774993</x:v>
      </x:c>
      <x:c r="G31" s="42" t="n">
        <x:f>D31-D30</x:f>
        <x:v>0.046284857774</x:v>
      </x:c>
      <x:c r="H31" s="66" t="str">
        <x:v>direct VSPAERO</x:v>
      </x:c>
      <x:c r="I31" s="66" t="str">
        <x:v>direct VSPAERO full corrected closed model; GO incidence from VSP model</x:v>
      </x:c>
      <x:c r="J31" s="42" t="n">
        <x:v>0</x:v>
      </x:c>
      <x:c r="K31" s="66"/>
      <x:c r="L31" s="66"/>
      <x:c r="M31" s="66"/>
      <x:c r="N31" s="66"/>
      <x:c r="O31" s="66"/>
      <x:c r="P31" s="66"/>
      <x:c r="Q31" s="66"/>
      <x:c r="R31" s="66"/>
      <x:c r="S31" s="66"/>
      <x:c r="T31" s="66"/>
      <x:c r="U31" s="66"/>
      <x:c r="V31" s="66"/>
      <x:c r="W31" s="66"/>
      <x:c r="X31" s="66"/>
      <x:c r="Y31" s="66"/>
      <x:c r="Z31" s="66"/>
      <x:c r="AA31" s="66"/>
      <x:c r="AB31" s="66"/>
      <x:c r="AC31" s="66"/>
    </x:row>
    <x:row r="32">
      <x:c r="A32" s="53" t="n">
        <x:v>0</x:v>
      </x:c>
      <x:c r="B32" s="66" t="str">
        <x:v>дозвук</x:v>
      </x:c>
      <x:c r="C32" s="53" t="n">
        <x:v>2</x:v>
      </x:c>
      <x:c r="D32" s="42" t="n">
        <x:v>0.111254448021</x:v>
      </x:c>
      <x:c r="E32" s="42" t="n">
        <x:v>0.01074493484</x:v>
      </x:c>
      <x:c r="F32" s="42" t="n">
        <x:v>-0.056421411851</x:v>
      </x:c>
      <x:c r="G32" s="42" t="n">
        <x:f>D32-D31</x:f>
        <x:v>0.04714994374999999</x:v>
      </x:c>
      <x:c r="H32" s="66" t="str">
        <x:v>direct VSPAERO</x:v>
      </x:c>
      <x:c r="I32" s="66" t="str">
        <x:v>direct VSPAERO full corrected closed model; GO incidence from VSP model</x:v>
      </x:c>
      <x:c r="J32" s="42" t="n">
        <x:v>0</x:v>
      </x:c>
      <x:c r="K32" s="66"/>
      <x:c r="L32" s="66"/>
      <x:c r="M32" s="66"/>
      <x:c r="N32" s="66"/>
      <x:c r="O32" s="66"/>
      <x:c r="P32" s="66"/>
      <x:c r="Q32" s="66"/>
      <x:c r="R32" s="66"/>
      <x:c r="S32" s="66"/>
      <x:c r="T32" s="66"/>
      <x:c r="U32" s="66"/>
      <x:c r="V32" s="66"/>
      <x:c r="W32" s="66"/>
      <x:c r="X32" s="66"/>
      <x:c r="Y32" s="66"/>
      <x:c r="Z32" s="66"/>
      <x:c r="AA32" s="66"/>
      <x:c r="AB32" s="66"/>
      <x:c r="AC32" s="66"/>
    </x:row>
    <x:row r="33">
      <x:c r="A33" s="53" t="n">
        <x:v>0</x:v>
      </x:c>
      <x:c r="B33" s="66" t="str">
        <x:v>дозвук</x:v>
      </x:c>
      <x:c r="C33" s="53" t="n">
        <x:v>3</x:v>
      </x:c>
      <x:c r="D33" s="42" t="n">
        <x:v>0.158308918024</x:v>
      </x:c>
      <x:c r="E33" s="42" t="n">
        <x:v>0.013073451584</x:v>
      </x:c>
      <x:c r="F33" s="42" t="n">
        <x:v>-0.092905601025</x:v>
      </x:c>
      <x:c r="G33" s="42" t="n">
        <x:f>D33-D32</x:f>
        <x:v>0.04705447000299999</x:v>
      </x:c>
      <x:c r="H33" s="66" t="str">
        <x:v>direct VSPAERO</x:v>
      </x:c>
      <x:c r="I33" s="66" t="str">
        <x:v>direct VSPAERO full corrected closed model; GO incidence from VSP model</x:v>
      </x:c>
      <x:c r="J33" s="42" t="n">
        <x:v>0</x:v>
      </x:c>
      <x:c r="K33" s="66"/>
      <x:c r="L33" s="66"/>
      <x:c r="M33" s="66"/>
      <x:c r="N33" s="66"/>
      <x:c r="O33" s="66"/>
      <x:c r="P33" s="66"/>
      <x:c r="Q33" s="66"/>
      <x:c r="R33" s="66"/>
      <x:c r="S33" s="66"/>
      <x:c r="T33" s="66"/>
      <x:c r="U33" s="66"/>
      <x:c r="V33" s="66"/>
      <x:c r="W33" s="66"/>
      <x:c r="X33" s="66"/>
      <x:c r="Y33" s="66"/>
      <x:c r="Z33" s="66"/>
      <x:c r="AA33" s="66"/>
      <x:c r="AB33" s="66"/>
      <x:c r="AC33" s="66"/>
    </x:row>
    <x:row r="34">
      <x:c r="A34" s="53" t="n">
        <x:v>0</x:v>
      </x:c>
      <x:c r="B34" s="66" t="str">
        <x:v>дозвук</x:v>
      </x:c>
      <x:c r="C34" s="53" t="n">
        <x:v>4</x:v>
      </x:c>
      <x:c r="D34" s="42" t="n">
        <x:v>0.204798171751</x:v>
      </x:c>
      <x:c r="E34" s="42" t="n">
        <x:v>0.016084447923</x:v>
      </x:c>
      <x:c r="F34" s="42" t="n">
        <x:v>-0.129518986124</x:v>
      </x:c>
      <x:c r="G34" s="42" t="n">
        <x:f>D34-D33</x:f>
        <x:v>0.046489253727000024</x:v>
      </x:c>
      <x:c r="H34" s="66" t="str">
        <x:v>direct VSPAERO</x:v>
      </x:c>
      <x:c r="I34" s="66" t="str">
        <x:v>direct VSPAERO full corrected closed model; GO incidence from VSP model</x:v>
      </x:c>
      <x:c r="J34" s="42" t="n">
        <x:v>0</x:v>
      </x:c>
      <x:c r="K34" s="66"/>
      <x:c r="L34" s="66"/>
      <x:c r="M34" s="66"/>
      <x:c r="N34" s="66"/>
      <x:c r="O34" s="66"/>
      <x:c r="P34" s="66"/>
      <x:c r="Q34" s="66"/>
      <x:c r="R34" s="66"/>
      <x:c r="S34" s="66"/>
      <x:c r="T34" s="66"/>
      <x:c r="U34" s="66"/>
      <x:c r="V34" s="66"/>
      <x:c r="W34" s="66"/>
      <x:c r="X34" s="66"/>
      <x:c r="Y34" s="66"/>
      <x:c r="Z34" s="66"/>
      <x:c r="AA34" s="66"/>
      <x:c r="AB34" s="66"/>
      <x:c r="AC34" s="66"/>
    </x:row>
    <x:row r="35">
      <x:c r="A35" s="53" t="n">
        <x:v>0</x:v>
      </x:c>
      <x:c r="B35" s="66" t="str">
        <x:v>дозвук</x:v>
      </x:c>
      <x:c r="C35" s="53" t="n">
        <x:v>5</x:v>
      </x:c>
      <x:c r="D35" s="42" t="n">
        <x:v>0.252340228814</x:v>
      </x:c>
      <x:c r="E35" s="42" t="n">
        <x:v>0.019892020546</x:v>
      </x:c>
      <x:c r="F35" s="42" t="n">
        <x:v>-0.167831136446</x:v>
      </x:c>
      <x:c r="G35" s="42" t="n">
        <x:f>D35-D34</x:f>
        <x:v>0.047542057062999965</x:v>
      </x:c>
      <x:c r="H35" s="66" t="str">
        <x:v>direct VSPAERO</x:v>
      </x:c>
      <x:c r="I35" s="66" t="str">
        <x:v>direct VSPAERO full corrected closed model; GO incidence from VSP model</x:v>
      </x:c>
      <x:c r="J35" s="42" t="n">
        <x:v>0</x:v>
      </x:c>
      <x:c r="K35" s="66"/>
      <x:c r="L35" s="66"/>
      <x:c r="M35" s="66"/>
      <x:c r="N35" s="66"/>
      <x:c r="O35" s="66"/>
      <x:c r="P35" s="66"/>
      <x:c r="Q35" s="66"/>
      <x:c r="R35" s="66"/>
      <x:c r="S35" s="66"/>
      <x:c r="T35" s="66"/>
      <x:c r="U35" s="66"/>
      <x:c r="V35" s="66"/>
      <x:c r="W35" s="66"/>
      <x:c r="X35" s="66"/>
      <x:c r="Y35" s="66"/>
      <x:c r="Z35" s="66"/>
      <x:c r="AA35" s="66"/>
      <x:c r="AB35" s="66"/>
      <x:c r="AC35" s="66"/>
    </x:row>
    <x:row r="36">
      <x:c r="A36" s="53" t="n">
        <x:v>0.1</x:v>
      </x:c>
      <x:c r="B36" s="66" t="str">
        <x:v>дозвук</x:v>
      </x:c>
      <x:c r="C36" s="53" t="n">
        <x:v>0</x:v>
      </x:c>
      <x:c r="D36" s="42" t="n">
        <x:v>0.017743102194</x:v>
      </x:c>
      <x:c r="E36" s="42" t="n">
        <x:v>0.008405200132</x:v>
      </x:c>
      <x:c r="F36" s="42" t="n">
        <x:v>0.014856720802</x:v>
      </x:c>
      <x:c r="G36" s="42"/>
      <x:c r="H36" s="66" t="str">
        <x:v>direct VSPAERO</x:v>
      </x:c>
      <x:c r="I36" s="66" t="str">
        <x:v>direct VSPAERO full corrected closed model; GO incidence from VSP model</x:v>
      </x:c>
      <x:c r="J36" s="42" t="n">
        <x:v>0</x:v>
      </x:c>
      <x:c r="K36" s="66"/>
      <x:c r="L36" s="66"/>
      <x:c r="M36" s="66"/>
      <x:c r="N36" s="66"/>
      <x:c r="O36" s="66"/>
      <x:c r="P36" s="66"/>
      <x:c r="Q36" s="66"/>
      <x:c r="R36" s="66"/>
      <x:c r="S36" s="66"/>
      <x:c r="T36" s="66"/>
      <x:c r="U36" s="66"/>
      <x:c r="V36" s="66"/>
      <x:c r="W36" s="66"/>
      <x:c r="X36" s="66"/>
      <x:c r="Y36" s="66"/>
      <x:c r="Z36" s="66"/>
      <x:c r="AA36" s="66"/>
      <x:c r="AB36" s="66"/>
      <x:c r="AC36" s="66"/>
    </x:row>
    <x:row r="37">
      <x:c r="A37" s="53" t="n">
        <x:v>0.1</x:v>
      </x:c>
      <x:c r="B37" s="66" t="str">
        <x:v>дозвук</x:v>
      </x:c>
      <x:c r="C37" s="53" t="n">
        <x:v>1</x:v>
      </x:c>
      <x:c r="D37" s="42" t="n">
        <x:v>0.064116027654</x:v>
      </x:c>
      <x:c r="E37" s="42" t="n">
        <x:v>0.009202288638</x:v>
      </x:c>
      <x:c r="F37" s="42" t="n">
        <x:v>-0.020022908243</x:v>
      </x:c>
      <x:c r="G37" s="42" t="n">
        <x:f>D37-D36</x:f>
        <x:v>0.04637292546</x:v>
      </x:c>
      <x:c r="H37" s="66" t="str">
        <x:v>direct VSPAERO</x:v>
      </x:c>
      <x:c r="I37" s="66" t="str">
        <x:v>direct VSPAERO full corrected closed model; GO incidence from VSP model</x:v>
      </x:c>
      <x:c r="J37" s="42" t="n">
        <x:v>0</x:v>
      </x:c>
      <x:c r="K37" s="66"/>
      <x:c r="L37" s="66"/>
      <x:c r="M37" s="66"/>
      <x:c r="N37" s="66"/>
      <x:c r="O37" s="66"/>
      <x:c r="P37" s="66"/>
      <x:c r="Q37" s="66"/>
      <x:c r="R37" s="66"/>
      <x:c r="S37" s="66"/>
      <x:c r="T37" s="66"/>
      <x:c r="U37" s="66"/>
      <x:c r="V37" s="66"/>
      <x:c r="W37" s="66"/>
      <x:c r="X37" s="66"/>
      <x:c r="Y37" s="66"/>
      <x:c r="Z37" s="66"/>
      <x:c r="AA37" s="66"/>
      <x:c r="AB37" s="66"/>
      <x:c r="AC37" s="66"/>
    </x:row>
    <x:row r="38">
      <x:c r="A38" s="53" t="n">
        <x:v>0.1</x:v>
      </x:c>
      <x:c r="B38" s="66" t="str">
        <x:v>дозвук</x:v>
      </x:c>
      <x:c r="C38" s="53" t="n">
        <x:v>2</x:v>
      </x:c>
      <x:c r="D38" s="42" t="n">
        <x:v>0.111349739718</x:v>
      </x:c>
      <x:c r="E38" s="42" t="n">
        <x:v>0.010767561784</x:v>
      </x:c>
      <x:c r="F38" s="42" t="n">
        <x:v>-0.056637911543</x:v>
      </x:c>
      <x:c r="G38" s="42" t="n">
        <x:f>D38-D37</x:f>
        <x:v>0.047233712064</x:v>
      </x:c>
      <x:c r="H38" s="66" t="str">
        <x:v>direct VSPAERO</x:v>
      </x:c>
      <x:c r="I38" s="66" t="str">
        <x:v>direct VSPAERO full corrected closed model; GO incidence from VSP model</x:v>
      </x:c>
      <x:c r="J38" s="42" t="n">
        <x:v>0</x:v>
      </x:c>
      <x:c r="K38" s="66"/>
      <x:c r="L38" s="66"/>
      <x:c r="M38" s="66"/>
      <x:c r="N38" s="66"/>
      <x:c r="O38" s="66"/>
      <x:c r="P38" s="66"/>
      <x:c r="Q38" s="66"/>
      <x:c r="R38" s="66"/>
      <x:c r="S38" s="66"/>
      <x:c r="T38" s="66"/>
      <x:c r="U38" s="66"/>
      <x:c r="V38" s="66"/>
      <x:c r="W38" s="66"/>
      <x:c r="X38" s="66"/>
      <x:c r="Y38" s="66"/>
      <x:c r="Z38" s="66"/>
      <x:c r="AA38" s="66"/>
      <x:c r="AB38" s="66"/>
      <x:c r="AC38" s="66"/>
    </x:row>
    <x:row r="39">
      <x:c r="A39" s="53" t="n">
        <x:v>0.1</x:v>
      </x:c>
      <x:c r="B39" s="66" t="str">
        <x:v>дозвук</x:v>
      </x:c>
      <x:c r="C39" s="53" t="n">
        <x:v>3</x:v>
      </x:c>
      <x:c r="D39" s="42" t="n">
        <x:v>0.158482070383</x:v>
      </x:c>
      <x:c r="E39" s="42" t="n">
        <x:v>0.013105488839</x:v>
      </x:c>
      <x:c r="F39" s="42" t="n">
        <x:v>-0.0931925526</x:v>
      </x:c>
      <x:c r="G39" s="42" t="n">
        <x:f>D39-D38</x:f>
        <x:v>0.047132330665</x:v>
      </x:c>
      <x:c r="H39" s="66" t="str">
        <x:v>direct VSPAERO</x:v>
      </x:c>
      <x:c r="I39" s="66" t="str">
        <x:v>direct VSPAERO full corrected closed model; GO incidence from VSP model</x:v>
      </x:c>
      <x:c r="J39" s="42" t="n">
        <x:v>0</x:v>
      </x:c>
      <x:c r="K39" s="66"/>
      <x:c r="L39" s="66"/>
      <x:c r="M39" s="66"/>
      <x:c r="N39" s="66"/>
      <x:c r="O39" s="66"/>
      <x:c r="P39" s="66"/>
      <x:c r="Q39" s="66"/>
      <x:c r="R39" s="66"/>
      <x:c r="S39" s="66"/>
      <x:c r="T39" s="66"/>
      <x:c r="U39" s="66"/>
      <x:c r="V39" s="66"/>
      <x:c r="W39" s="66"/>
      <x:c r="X39" s="66"/>
      <x:c r="Y39" s="66"/>
      <x:c r="Z39" s="66"/>
      <x:c r="AA39" s="66"/>
      <x:c r="AB39" s="66"/>
      <x:c r="AC39" s="66"/>
    </x:row>
    <x:row r="40">
      <x:c r="A40" s="53" t="n">
        <x:v>0.1</x:v>
      </x:c>
      <x:c r="B40" s="66" t="str">
        <x:v>дозвук</x:v>
      </x:c>
      <x:c r="C40" s="53" t="n">
        <x:v>4</x:v>
      </x:c>
      <x:c r="D40" s="42" t="n">
        <x:v>0.205043576269</x:v>
      </x:c>
      <x:c r="E40" s="42" t="n">
        <x:v>0.016127512797</x:v>
      </x:c>
      <x:c r="F40" s="42" t="n">
        <x:v>-0.129874466775</x:v>
      </x:c>
      <x:c r="G40" s="42" t="n">
        <x:f>D40-D39</x:f>
        <x:v>0.046561505886</x:v>
      </x:c>
      <x:c r="H40" s="66" t="str">
        <x:v>direct VSPAERO</x:v>
      </x:c>
      <x:c r="I40" s="66" t="str">
        <x:v>direct VSPAERO full corrected closed model; GO incidence from VSP model</x:v>
      </x:c>
      <x:c r="J40" s="42" t="n">
        <x:v>0</x:v>
      </x:c>
      <x:c r="K40" s="66"/>
      <x:c r="L40" s="66"/>
      <x:c r="M40" s="66"/>
      <x:c r="N40" s="66"/>
      <x:c r="O40" s="66"/>
      <x:c r="P40" s="66"/>
      <x:c r="Q40" s="66"/>
      <x:c r="R40" s="66"/>
      <x:c r="S40" s="66"/>
      <x:c r="T40" s="66"/>
      <x:c r="U40" s="66"/>
      <x:c r="V40" s="66"/>
      <x:c r="W40" s="66"/>
      <x:c r="X40" s="66"/>
      <x:c r="Y40" s="66"/>
      <x:c r="Z40" s="66"/>
      <x:c r="AA40" s="66"/>
      <x:c r="AB40" s="66"/>
      <x:c r="AC40" s="66"/>
    </x:row>
    <x:row r="41">
      <x:c r="A41" s="53" t="n">
        <x:v>0.1</x:v>
      </x:c>
      <x:c r="B41" s="66" t="str">
        <x:v>дозвук</x:v>
      </x:c>
      <x:c r="C41" s="53" t="n">
        <x:v>5</x:v>
      </x:c>
      <x:c r="D41" s="42" t="n">
        <x:v>0.252660834444</x:v>
      </x:c>
      <x:c r="E41" s="42" t="n">
        <x:v>0.019948453728</x:v>
      </x:c>
      <x:c r="F41" s="42" t="n">
        <x:v>-0.168255724201</x:v>
      </x:c>
      <x:c r="G41" s="42" t="n">
        <x:f>D41-D40</x:f>
        <x:v>0.04761725817500001</x:v>
      </x:c>
      <x:c r="H41" s="66" t="str">
        <x:v>direct VSPAERO</x:v>
      </x:c>
      <x:c r="I41" s="66" t="str">
        <x:v>direct VSPAERO full corrected closed model; GO incidence from VSP model</x:v>
      </x:c>
      <x:c r="J41" s="42" t="n">
        <x:v>0</x:v>
      </x:c>
      <x:c r="K41" s="66"/>
      <x:c r="L41" s="66"/>
      <x:c r="M41" s="66"/>
      <x:c r="N41" s="66"/>
      <x:c r="O41" s="66"/>
      <x:c r="P41" s="66"/>
      <x:c r="Q41" s="66"/>
      <x:c r="R41" s="66"/>
      <x:c r="S41" s="66"/>
      <x:c r="T41" s="66"/>
      <x:c r="U41" s="66"/>
      <x:c r="V41" s="66"/>
      <x:c r="W41" s="66"/>
      <x:c r="X41" s="66"/>
      <x:c r="Y41" s="66"/>
      <x:c r="Z41" s="66"/>
      <x:c r="AA41" s="66"/>
      <x:c r="AB41" s="66"/>
      <x:c r="AC41" s="66"/>
    </x:row>
    <x:row r="42">
      <x:c r="A42" s="53" t="n">
        <x:v>0.2</x:v>
      </x:c>
      <x:c r="B42" s="66" t="str">
        <x:v>дозвук</x:v>
      </x:c>
      <x:c r="C42" s="53" t="n">
        <x:v>0</x:v>
      </x:c>
      <x:c r="D42" s="42" t="n">
        <x:v>0.017503319908</x:v>
      </x:c>
      <x:c r="E42" s="42" t="n">
        <x:v>0.0084574985</x:v>
      </x:c>
      <x:c r="F42" s="42" t="n">
        <x:v>0.014743113908</x:v>
      </x:c>
      <x:c r="G42" s="42"/>
      <x:c r="H42" s="66" t="str">
        <x:v>direct VSPAERO</x:v>
      </x:c>
      <x:c r="I42" s="66" t="str">
        <x:v>direct VSPAERO full corrected closed model; GO incidence from VSP model</x:v>
      </x:c>
      <x:c r="J42" s="42" t="n">
        <x:v>0</x:v>
      </x:c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6"/>
      <x:c r="Z42" s="66"/>
      <x:c r="AA42" s="66"/>
      <x:c r="AB42" s="66"/>
      <x:c r="AC42" s="66"/>
    </x:row>
    <x:row r="43">
      <x:c r="A43" s="53" t="n">
        <x:v>0.2</x:v>
      </x:c>
      <x:c r="B43" s="66" t="str">
        <x:v>дозвук</x:v>
      </x:c>
      <x:c r="C43" s="53" t="n">
        <x:v>1</x:v>
      </x:c>
      <x:c r="D43" s="42" t="n">
        <x:v>0.064200415235</x:v>
      </x:c>
      <x:c r="E43" s="42" t="n">
        <x:v>0.009256567239</x:v>
      </x:c>
      <x:c r="F43" s="42" t="n">
        <x:v>-0.020498927471</x:v>
      </x:c>
      <x:c r="G43" s="42" t="n">
        <x:f>D43-D42</x:f>
        <x:v>0.046697095327000004</x:v>
      </x:c>
      <x:c r="H43" s="66" t="str">
        <x:v>direct VSPAERO</x:v>
      </x:c>
      <x:c r="I43" s="66" t="str">
        <x:v>direct VSPAERO full corrected closed model; GO incidence from VSP model</x:v>
      </x:c>
      <x:c r="J43" s="42" t="n">
        <x:v>0</x:v>
      </x:c>
      <x:c r="K43" s="66"/>
      <x:c r="L43" s="66"/>
      <x:c r="M43" s="66"/>
      <x:c r="N43" s="66"/>
      <x:c r="O43" s="66"/>
      <x:c r="P43" s="66"/>
      <x:c r="Q43" s="66"/>
      <x:c r="R43" s="66"/>
      <x:c r="S43" s="66"/>
      <x:c r="T43" s="66"/>
      <x:c r="U43" s="66"/>
      <x:c r="V43" s="66"/>
      <x:c r="W43" s="66"/>
      <x:c r="X43" s="66"/>
      <x:c r="Y43" s="66"/>
      <x:c r="Z43" s="66"/>
      <x:c r="AA43" s="66"/>
      <x:c r="AB43" s="66"/>
      <x:c r="AC43" s="66"/>
    </x:row>
    <x:row r="44">
      <x:c r="A44" s="53" t="n">
        <x:v>0.2</x:v>
      </x:c>
      <x:c r="B44" s="66" t="str">
        <x:v>дозвук</x:v>
      </x:c>
      <x:c r="C44" s="53" t="n">
        <x:v>2</x:v>
      </x:c>
      <x:c r="D44" s="42" t="n">
        <x:v>0.111707823386</x:v>
      </x:c>
      <x:c r="E44" s="42" t="n">
        <x:v>0.010838744114</x:v>
      </x:c>
      <x:c r="F44" s="42" t="n">
        <x:v>-0.057372448495</x:v>
      </x:c>
      <x:c r="G44" s="42" t="n">
        <x:f>D44-D43</x:f>
        <x:v>0.04750740815099999</x:v>
      </x:c>
      <x:c r="H44" s="66" t="str">
        <x:v>direct VSPAERO</x:v>
      </x:c>
      <x:c r="I44" s="66" t="str">
        <x:v>direct VSPAERO full corrected closed model; GO incidence from VSP model</x:v>
      </x:c>
      <x:c r="J44" s="42" t="n">
        <x:v>0</x:v>
      </x:c>
      <x:c r="K44" s="66"/>
      <x:c r="L44" s="66"/>
      <x:c r="M44" s="66"/>
      <x:c r="N44" s="66"/>
      <x:c r="O44" s="66"/>
      <x:c r="P44" s="66"/>
      <x:c r="Q44" s="66"/>
      <x:c r="R44" s="66"/>
      <x:c r="S44" s="66"/>
      <x:c r="T44" s="66"/>
      <x:c r="U44" s="66"/>
      <x:c r="V44" s="66"/>
      <x:c r="W44" s="66"/>
      <x:c r="X44" s="66"/>
      <x:c r="Y44" s="66"/>
      <x:c r="Z44" s="66"/>
      <x:c r="AA44" s="66"/>
      <x:c r="AB44" s="66"/>
      <x:c r="AC44" s="66"/>
    </x:row>
    <x:row r="45">
      <x:c r="A45" s="53" t="n">
        <x:v>0.2</x:v>
      </x:c>
      <x:c r="B45" s="66" t="str">
        <x:v>дозвук</x:v>
      </x:c>
      <x:c r="C45" s="53" t="n">
        <x:v>3</x:v>
      </x:c>
      <x:c r="D45" s="42" t="n">
        <x:v>0.159119014669</x:v>
      </x:c>
      <x:c r="E45" s="42" t="n">
        <x:v>0.013206024601</x:v>
      </x:c>
      <x:c r="F45" s="42" t="n">
        <x:v>-0.094212193094</x:v>
      </x:c>
      <x:c r="G45" s="42" t="n">
        <x:f>D45-D44</x:f>
        <x:v>0.047411191283000004</x:v>
      </x:c>
      <x:c r="H45" s="66" t="str">
        <x:v>direct VSPAERO</x:v>
      </x:c>
      <x:c r="I45" s="66" t="str">
        <x:v>direct VSPAERO full corrected closed model; GO incidence from VSP model</x:v>
      </x:c>
      <x:c r="J45" s="42" t="n">
        <x:v>0</x:v>
      </x:c>
      <x:c r="K45" s="66"/>
      <x:c r="L45" s="66"/>
      <x:c r="M45" s="66"/>
      <x:c r="N45" s="66"/>
      <x:c r="O45" s="66"/>
      <x:c r="P45" s="66"/>
      <x:c r="Q45" s="66"/>
      <x:c r="R45" s="66"/>
      <x:c r="S45" s="66"/>
      <x:c r="T45" s="66"/>
      <x:c r="U45" s="66"/>
      <x:c r="V45" s="66"/>
      <x:c r="W45" s="66"/>
      <x:c r="X45" s="66"/>
      <x:c r="Y45" s="66"/>
      <x:c r="Z45" s="66"/>
      <x:c r="AA45" s="66"/>
      <x:c r="AB45" s="66"/>
      <x:c r="AC45" s="66"/>
    </x:row>
    <x:row r="46">
      <x:c r="A46" s="53" t="n">
        <x:v>0.2</x:v>
      </x:c>
      <x:c r="B46" s="66" t="str">
        <x:v>дозвук</x:v>
      </x:c>
      <x:c r="C46" s="53" t="n">
        <x:v>4</x:v>
      </x:c>
      <x:c r="D46" s="42" t="n">
        <x:v>0.205923220257</x:v>
      </x:c>
      <x:c r="E46" s="42" t="n">
        <x:v>0.016266226489</x:v>
      </x:c>
      <x:c r="F46" s="42" t="n">
        <x:v>-0.131136280342</x:v>
      </x:c>
      <x:c r="G46" s="42" t="n">
        <x:f>D46-D45</x:f>
        <x:v>0.046804205588</x:v>
      </x:c>
      <x:c r="H46" s="66" t="str">
        <x:v>direct VSPAERO</x:v>
      </x:c>
      <x:c r="I46" s="66" t="str">
        <x:v>direct VSPAERO full corrected closed model; GO incidence from VSP model</x:v>
      </x:c>
      <x:c r="J46" s="42" t="n">
        <x:v>0</x:v>
      </x:c>
      <x:c r="K46" s="66"/>
      <x:c r="L46" s="66"/>
      <x:c r="M46" s="66"/>
      <x:c r="N46" s="66"/>
      <x:c r="O46" s="66"/>
      <x:c r="P46" s="66"/>
      <x:c r="Q46" s="66"/>
      <x:c r="R46" s="66"/>
      <x:c r="S46" s="66"/>
      <x:c r="T46" s="66"/>
      <x:c r="U46" s="66"/>
      <x:c r="V46" s="66"/>
      <x:c r="W46" s="66"/>
      <x:c r="X46" s="66"/>
      <x:c r="Y46" s="66"/>
      <x:c r="Z46" s="66"/>
      <x:c r="AA46" s="66"/>
      <x:c r="AB46" s="66"/>
      <x:c r="AC46" s="66"/>
    </x:row>
    <x:row r="47">
      <x:c r="A47" s="53" t="n">
        <x:v>0.2</x:v>
      </x:c>
      <x:c r="B47" s="66" t="str">
        <x:v>дозвук</x:v>
      </x:c>
      <x:c r="C47" s="53" t="n">
        <x:v>5</x:v>
      </x:c>
      <x:c r="D47" s="42" t="n">
        <x:v>0.253802088641</x:v>
      </x:c>
      <x:c r="E47" s="42" t="n">
        <x:v>0.020134422357</x:v>
      </x:c>
      <x:c r="F47" s="42" t="n">
        <x:v>-0.169773361927</x:v>
      </x:c>
      <x:c r="G47" s="42" t="n">
        <x:f>D47-D46</x:f>
        <x:v>0.04787886838400002</x:v>
      </x:c>
      <x:c r="H47" s="66" t="str">
        <x:v>direct VSPAERO</x:v>
      </x:c>
      <x:c r="I47" s="66" t="str">
        <x:v>direct VSPAERO full corrected closed model; GO incidence from VSP model</x:v>
      </x:c>
      <x:c r="J47" s="42" t="n">
        <x:v>0</x:v>
      </x:c>
      <x:c r="K47" s="66"/>
      <x:c r="L47" s="66"/>
      <x:c r="M47" s="66"/>
      <x:c r="N47" s="66"/>
      <x:c r="O47" s="66"/>
      <x:c r="P47" s="66"/>
      <x:c r="Q47" s="66"/>
      <x:c r="R47" s="66"/>
      <x:c r="S47" s="66"/>
      <x:c r="T47" s="66"/>
      <x:c r="U47" s="66"/>
      <x:c r="V47" s="66"/>
      <x:c r="W47" s="66"/>
      <x:c r="X47" s="66"/>
      <x:c r="Y47" s="66"/>
      <x:c r="Z47" s="66"/>
      <x:c r="AA47" s="66"/>
      <x:c r="AB47" s="66"/>
      <x:c r="AC47" s="66"/>
    </x:row>
    <x:row r="48">
      <x:c r="A48" s="53" t="n">
        <x:v>0.3</x:v>
      </x:c>
      <x:c r="B48" s="66" t="str">
        <x:v>дозвук</x:v>
      </x:c>
      <x:c r="C48" s="53" t="n">
        <x:v>0</x:v>
      </x:c>
      <x:c r="D48" s="42" t="n">
        <x:v>0.017170579178</x:v>
      </x:c>
      <x:c r="E48" s="42" t="n">
        <x:v>0.008543040177</x:v>
      </x:c>
      <x:c r="F48" s="42" t="n">
        <x:v>0.014487467433</x:v>
      </x:c>
      <x:c r="G48" s="42"/>
      <x:c r="H48" s="66" t="str">
        <x:v>direct VSPAERO</x:v>
      </x:c>
      <x:c r="I48" s="66" t="str">
        <x:v>direct VSPAERO full corrected closed model; GO incidence from VSP model</x:v>
      </x:c>
      <x:c r="J48" s="42" t="n">
        <x:v>0</x:v>
      </x:c>
      <x:c r="K48" s="66"/>
      <x:c r="L48" s="66"/>
      <x:c r="M48" s="66"/>
      <x:c r="N48" s="66"/>
      <x:c r="O48" s="66"/>
      <x:c r="P48" s="66"/>
      <x:c r="Q48" s="66"/>
      <x:c r="R48" s="66"/>
      <x:c r="S48" s="66"/>
      <x:c r="T48" s="66"/>
      <x:c r="U48" s="66"/>
      <x:c r="V48" s="66"/>
      <x:c r="W48" s="66"/>
      <x:c r="X48" s="66"/>
      <x:c r="Y48" s="66"/>
      <x:c r="Z48" s="66"/>
      <x:c r="AA48" s="66"/>
      <x:c r="AB48" s="66"/>
      <x:c r="AC48" s="66"/>
    </x:row>
    <x:row r="49">
      <x:c r="A49" s="53" t="n">
        <x:v>0.3</x:v>
      </x:c>
      <x:c r="B49" s="66" t="str">
        <x:v>дозвук</x:v>
      </x:c>
      <x:c r="C49" s="53" t="n">
        <x:v>1</x:v>
      </x:c>
      <x:c r="D49" s="42" t="n">
        <x:v>0.064415741498</x:v>
      </x:c>
      <x:c r="E49" s="42" t="n">
        <x:v>0.009352023671</x:v>
      </x:c>
      <x:c r="F49" s="42" t="n">
        <x:v>-0.021384700437</x:v>
      </x:c>
      <x:c r="G49" s="42" t="n">
        <x:f>D49-D48</x:f>
        <x:v>0.047245162320000006</x:v>
      </x:c>
      <x:c r="H49" s="66" t="str">
        <x:v>direct VSPAERO</x:v>
      </x:c>
      <x:c r="I49" s="66" t="str">
        <x:v>direct VSPAERO full corrected closed model; GO incidence from VSP model</x:v>
      </x:c>
      <x:c r="J49" s="42" t="n">
        <x:v>0</x:v>
      </x:c>
      <x:c r="K49" s="66"/>
      <x:c r="L49" s="66"/>
      <x:c r="M49" s="66"/>
      <x:c r="N49" s="66"/>
      <x:c r="O49" s="66"/>
      <x:c r="P49" s="66"/>
      <x:c r="Q49" s="66"/>
      <x:c r="R49" s="66"/>
      <x:c r="S49" s="66"/>
      <x:c r="T49" s="66"/>
      <x:c r="U49" s="66"/>
      <x:c r="V49" s="66"/>
      <x:c r="W49" s="66"/>
      <x:c r="X49" s="66"/>
      <x:c r="Y49" s="66"/>
      <x:c r="Z49" s="66"/>
      <x:c r="AA49" s="66"/>
      <x:c r="AB49" s="66"/>
      <x:c r="AC49" s="66"/>
    </x:row>
    <x:row r="50">
      <x:c r="A50" s="53" t="n">
        <x:v>0.3</x:v>
      </x:c>
      <x:c r="B50" s="66" t="str">
        <x:v>дозвук</x:v>
      </x:c>
      <x:c r="C50" s="53" t="n">
        <x:v>2</x:v>
      </x:c>
      <x:c r="D50" s="42" t="n">
        <x:v>0.112413913838</x:v>
      </x:c>
      <x:c r="E50" s="42" t="n">
        <x:v>0.010963958812</x:v>
      </x:c>
      <x:c r="F50" s="42" t="n">
        <x:v>-0.058743620493</x:v>
      </x:c>
      <x:c r="G50" s="42" t="n">
        <x:f>D50-D49</x:f>
        <x:v>0.047998172340000006</x:v>
      </x:c>
      <x:c r="H50" s="66" t="str">
        <x:v>direct VSPAERO</x:v>
      </x:c>
      <x:c r="I50" s="66" t="str">
        <x:v>direct VSPAERO full corrected closed model; GO incidence from VSP model</x:v>
      </x:c>
      <x:c r="J50" s="42" t="n">
        <x:v>0</x:v>
      </x:c>
      <x:c r="K50" s="66"/>
      <x:c r="L50" s="66"/>
      <x:c r="M50" s="66"/>
      <x:c r="N50" s="52" t="str">
        <x:v>Контроль качества: прямой одиночный повтор M=1,40 (NCPU=1, 3 итерации следа) был остановлен после расходимости GMRES &gt;500 итераций. Поэтому M=1,40/1,50 получены по M=1,30/1,60, а M=1,90…2,10 — по M=1,80/2,20. Полудиапазон в таблице показывает разность соседних опор как консервативный индикатор неопределённости.</x:v>
      </x:c>
      <x:c r="O50" s="52"/>
      <x:c r="P50" s="52"/>
      <x:c r="Q50" s="52"/>
      <x:c r="R50" s="52"/>
      <x:c r="S50" s="52"/>
      <x:c r="T50" s="52"/>
      <x:c r="U50" s="52"/>
      <x:c r="V50" s="52"/>
      <x:c r="W50" s="52"/>
      <x:c r="X50" s="52"/>
      <x:c r="Y50" s="52"/>
      <x:c r="Z50" s="52"/>
      <x:c r="AA50" s="52"/>
      <x:c r="AB50" s="52"/>
      <x:c r="AC50" s="52"/>
    </x:row>
    <x:row r="51">
      <x:c r="A51" s="53" t="n">
        <x:v>0.3</x:v>
      </x:c>
      <x:c r="B51" s="66" t="str">
        <x:v>дозвук</x:v>
      </x:c>
      <x:c r="C51" s="53" t="n">
        <x:v>3</x:v>
      </x:c>
      <x:c r="D51" s="42" t="n">
        <x:v>0.160278127043</x:v>
      </x:c>
      <x:c r="E51" s="42" t="n">
        <x:v>0.01338161841</x:v>
      </x:c>
      <x:c r="F51" s="42" t="n">
        <x:v>-0.096010437326</x:v>
      </x:c>
      <x:c r="G51" s="42" t="n">
        <x:f>D51-D50</x:f>
        <x:v>0.047864213205000006</x:v>
      </x:c>
      <x:c r="H51" s="66" t="str">
        <x:v>direct VSPAERO</x:v>
      </x:c>
      <x:c r="I51" s="66" t="str">
        <x:v>direct VSPAERO full corrected closed model; GO incidence from VSP model</x:v>
      </x:c>
      <x:c r="J51" s="42" t="n">
        <x:v>0</x:v>
      </x:c>
      <x:c r="K51" s="66"/>
      <x:c r="L51" s="66"/>
      <x:c r="M51" s="66"/>
      <x:c r="N51" s="52"/>
      <x:c r="O51" s="52"/>
      <x:c r="P51" s="52"/>
      <x:c r="Q51" s="52"/>
      <x:c r="R51" s="52"/>
      <x:c r="S51" s="52"/>
      <x:c r="T51" s="52"/>
      <x:c r="U51" s="52"/>
      <x:c r="V51" s="52"/>
      <x:c r="W51" s="52"/>
      <x:c r="X51" s="52"/>
      <x:c r="Y51" s="52"/>
      <x:c r="Z51" s="52"/>
      <x:c r="AA51" s="52"/>
      <x:c r="AB51" s="52"/>
      <x:c r="AC51" s="52"/>
    </x:row>
    <x:row r="52">
      <x:c r="A52" s="53" t="n">
        <x:v>0.3</x:v>
      </x:c>
      <x:c r="B52" s="66" t="str">
        <x:v>дозвук</x:v>
      </x:c>
      <x:c r="C52" s="53" t="n">
        <x:v>4</x:v>
      </x:c>
      <x:c r="D52" s="42" t="n">
        <x:v>0.207480261376</x:v>
      </x:c>
      <x:c r="E52" s="42" t="n">
        <x:v>0.016510829055</x:v>
      </x:c>
      <x:c r="F52" s="42" t="n">
        <x:v>-0.133322961168</x:v>
      </x:c>
      <x:c r="G52" s="42" t="n">
        <x:f>D52-D51</x:f>
        <x:v>0.047202134332999995</x:v>
      </x:c>
      <x:c r="H52" s="66" t="str">
        <x:v>direct VSPAERO</x:v>
      </x:c>
      <x:c r="I52" s="66" t="str">
        <x:v>direct VSPAERO full corrected closed model; GO incidence from VSP model</x:v>
      </x:c>
      <x:c r="J52" s="42" t="n">
        <x:v>0</x:v>
      </x:c>
      <x:c r="K52" s="66"/>
      <x:c r="L52" s="66"/>
      <x:c r="M52" s="66"/>
      <x:c r="N52" s="52"/>
      <x:c r="O52" s="52"/>
      <x:c r="P52" s="52"/>
      <x:c r="Q52" s="52"/>
      <x:c r="R52" s="52"/>
      <x:c r="S52" s="52"/>
      <x:c r="T52" s="52"/>
      <x:c r="U52" s="52"/>
      <x:c r="V52" s="52"/>
      <x:c r="W52" s="52"/>
      <x:c r="X52" s="52"/>
      <x:c r="Y52" s="52"/>
      <x:c r="Z52" s="52"/>
      <x:c r="AA52" s="52"/>
      <x:c r="AB52" s="52"/>
      <x:c r="AC52" s="52"/>
    </x:row>
    <x:row r="53">
      <x:c r="A53" s="53" t="n">
        <x:v>0.3</x:v>
      </x:c>
      <x:c r="B53" s="66" t="str">
        <x:v>дозвук</x:v>
      </x:c>
      <x:c r="C53" s="53" t="n">
        <x:v>5</x:v>
      </x:c>
      <x:c r="D53" s="42" t="n">
        <x:v>0.255877709833</x:v>
      </x:c>
      <x:c r="E53" s="42" t="n">
        <x:v>0.020458134734</x:v>
      </x:c>
      <x:c r="F53" s="42" t="n">
        <x:v>-0.172497765584</x:v>
      </x:c>
      <x:c r="G53" s="42" t="n">
        <x:f>D53-D52</x:f>
        <x:v>0.048397448457</x:v>
      </x:c>
      <x:c r="H53" s="66" t="str">
        <x:v>direct VSPAERO</x:v>
      </x:c>
      <x:c r="I53" s="66" t="str">
        <x:v>direct VSPAERO full corrected closed model; GO incidence from VSP model</x:v>
      </x:c>
      <x:c r="J53" s="42" t="n">
        <x:v>0</x:v>
      </x:c>
      <x:c r="K53" s="66"/>
      <x:c r="L53" s="66"/>
      <x:c r="M53" s="66"/>
      <x:c r="N53" s="52"/>
      <x:c r="O53" s="52"/>
      <x:c r="P53" s="52"/>
      <x:c r="Q53" s="52"/>
      <x:c r="R53" s="52"/>
      <x:c r="S53" s="52"/>
      <x:c r="T53" s="52"/>
      <x:c r="U53" s="52"/>
      <x:c r="V53" s="52"/>
      <x:c r="W53" s="52"/>
      <x:c r="X53" s="52"/>
      <x:c r="Y53" s="52"/>
      <x:c r="Z53" s="52"/>
      <x:c r="AA53" s="52"/>
      <x:c r="AB53" s="52"/>
      <x:c r="AC53" s="52"/>
    </x:row>
    <x:row r="54">
      <x:c r="A54" s="53" t="n">
        <x:v>0.4</x:v>
      </x:c>
      <x:c r="B54" s="66" t="str">
        <x:v>дозвук</x:v>
      </x:c>
      <x:c r="C54" s="53" t="n">
        <x:v>0</x:v>
      </x:c>
      <x:c r="D54" s="42" t="n">
        <x:v>0.016844045996</x:v>
      </x:c>
      <x:c r="E54" s="42" t="n">
        <x:v>0.008658770853</x:v>
      </x:c>
      <x:c r="F54" s="42" t="n">
        <x:v>0.014007433879</x:v>
      </x:c>
      <x:c r="G54" s="42"/>
      <x:c r="H54" s="66" t="str">
        <x:v>direct VSPAERO</x:v>
      </x:c>
      <x:c r="I54" s="66" t="str">
        <x:v>direct VSPAERO full corrected closed model; GO incidence from VSP model</x:v>
      </x:c>
      <x:c r="J54" s="42" t="n">
        <x:v>0</x:v>
      </x:c>
      <x:c r="K54" s="66"/>
      <x:c r="L54" s="66"/>
      <x:c r="M54" s="66"/>
      <x:c r="N54" s="66"/>
      <x:c r="O54" s="66"/>
      <x:c r="P54" s="66"/>
      <x:c r="Q54" s="66"/>
      <x:c r="R54" s="66"/>
      <x:c r="S54" s="66"/>
      <x:c r="T54" s="66"/>
      <x:c r="U54" s="66"/>
      <x:c r="V54" s="66"/>
      <x:c r="W54" s="66"/>
      <x:c r="X54" s="66"/>
      <x:c r="Y54" s="66"/>
      <x:c r="Z54" s="66"/>
      <x:c r="AA54" s="66"/>
      <x:c r="AB54" s="66"/>
      <x:c r="AC54" s="66"/>
    </x:row>
    <x:row r="55">
      <x:c r="A55" s="53" t="n">
        <x:v>0.4</x:v>
      </x:c>
      <x:c r="B55" s="66" t="str">
        <x:v>дозвук</x:v>
      </x:c>
      <x:c r="C55" s="53" t="n">
        <x:v>1</x:v>
      </x:c>
      <x:c r="D55" s="42" t="n">
        <x:v>0.064878173716</x:v>
      </x:c>
      <x:c r="E55" s="42" t="n">
        <x:v>0.009489857428</x:v>
      </x:c>
      <x:c r="F55" s="42" t="n">
        <x:v>-0.022773962312</x:v>
      </x:c>
      <x:c r="G55" s="42" t="n">
        <x:f>D55-D54</x:f>
        <x:v>0.04803412772000001</x:v>
      </x:c>
      <x:c r="H55" s="66" t="str">
        <x:v>direct VSPAERO</x:v>
      </x:c>
      <x:c r="I55" s="66" t="str">
        <x:v>direct VSPAERO full corrected closed model; GO incidence from VSP model</x:v>
      </x:c>
      <x:c r="J55" s="42" t="n">
        <x:v>0</x:v>
      </x:c>
      <x:c r="K55" s="66"/>
      <x:c r="L55" s="66"/>
      <x:c r="M55" s="66"/>
      <x:c r="N55" s="66"/>
      <x:c r="O55" s="66"/>
      <x:c r="P55" s="66"/>
      <x:c r="Q55" s="66"/>
      <x:c r="R55" s="66"/>
      <x:c r="S55" s="66"/>
      <x:c r="T55" s="66"/>
      <x:c r="U55" s="66"/>
      <x:c r="V55" s="66"/>
      <x:c r="W55" s="66"/>
      <x:c r="X55" s="66"/>
      <x:c r="Y55" s="66"/>
      <x:c r="Z55" s="66"/>
      <x:c r="AA55" s="66"/>
      <x:c r="AB55" s="66"/>
      <x:c r="AC55" s="66"/>
    </x:row>
    <x:row r="56">
      <x:c r="A56" s="53" t="n">
        <x:v>0.4</x:v>
      </x:c>
      <x:c r="B56" s="66" t="str">
        <x:v>дозвук</x:v>
      </x:c>
      <x:c r="C56" s="53" t="n">
        <x:v>2</x:v>
      </x:c>
      <x:c r="D56" s="42" t="n">
        <x:v>0.113644890851</x:v>
      </x:c>
      <x:c r="E56" s="42" t="n">
        <x:v>0.011150475787</x:v>
      </x:c>
      <x:c r="F56" s="42" t="n">
        <x:v>-0.060842890887</x:v>
      </x:c>
      <x:c r="G56" s="42" t="n">
        <x:f>D56-D55</x:f>
        <x:v>0.048766717135</x:v>
      </x:c>
      <x:c r="H56" s="66" t="str">
        <x:v>direct VSPAERO</x:v>
      </x:c>
      <x:c r="I56" s="66" t="str">
        <x:v>direct VSPAERO full corrected closed model; GO incidence from VSP model</x:v>
      </x:c>
      <x:c r="J56" s="42" t="n">
        <x:v>0</x:v>
      </x:c>
      <x:c r="K56" s="66"/>
      <x:c r="L56" s="66"/>
      <x:c r="M56" s="66"/>
      <x:c r="N56" s="66"/>
      <x:c r="O56" s="66"/>
      <x:c r="P56" s="66"/>
      <x:c r="Q56" s="66"/>
      <x:c r="R56" s="66"/>
      <x:c r="S56" s="66"/>
      <x:c r="T56" s="66"/>
      <x:c r="U56" s="66"/>
      <x:c r="V56" s="66"/>
      <x:c r="W56" s="66"/>
      <x:c r="X56" s="66"/>
      <x:c r="Y56" s="66"/>
      <x:c r="Z56" s="66"/>
      <x:c r="AA56" s="66"/>
      <x:c r="AB56" s="66"/>
      <x:c r="AC56" s="66"/>
    </x:row>
    <x:row r="57">
      <x:c r="A57" s="53" t="n">
        <x:v>0.4</x:v>
      </x:c>
      <x:c r="B57" s="66" t="str">
        <x:v>дозвук</x:v>
      </x:c>
      <x:c r="C57" s="53" t="n">
        <x:v>3</x:v>
      </x:c>
      <x:c r="D57" s="42" t="n">
        <x:v>0.161512024535</x:v>
      </x:c>
      <x:c r="E57" s="42" t="n">
        <x:v>0.013615115267</x:v>
      </x:c>
      <x:c r="F57" s="42" t="n">
        <x:v>-0.098376836979</x:v>
      </x:c>
      <x:c r="G57" s="42" t="n">
        <x:f>D57-D56</x:f>
        <x:v>0.04786713368399999</x:v>
      </x:c>
      <x:c r="H57" s="66" t="str">
        <x:v>direct VSPAERO</x:v>
      </x:c>
      <x:c r="I57" s="66" t="str">
        <x:v>direct VSPAERO full corrected closed model; GO incidence from VSP model</x:v>
      </x:c>
      <x:c r="J57" s="42" t="n">
        <x:v>0</x:v>
      </x:c>
      <x:c r="K57" s="66"/>
      <x:c r="L57" s="66"/>
      <x:c r="M57" s="66"/>
      <x:c r="N57" s="66"/>
      <x:c r="O57" s="66"/>
      <x:c r="P57" s="66"/>
      <x:c r="Q57" s="66"/>
      <x:c r="R57" s="66"/>
      <x:c r="S57" s="66"/>
      <x:c r="T57" s="66"/>
      <x:c r="U57" s="66"/>
      <x:c r="V57" s="66"/>
      <x:c r="W57" s="66"/>
      <x:c r="X57" s="66"/>
      <x:c r="Y57" s="66"/>
      <x:c r="Z57" s="66"/>
      <x:c r="AA57" s="66"/>
      <x:c r="AB57" s="66"/>
      <x:c r="AC57" s="66"/>
    </x:row>
    <x:row r="58">
      <x:c r="A58" s="53" t="n">
        <x:v>0.4</x:v>
      </x:c>
      <x:c r="B58" s="66" t="str">
        <x:v>дозвук</x:v>
      </x:c>
      <x:c r="C58" s="53" t="n">
        <x:v>4</x:v>
      </x:c>
      <x:c r="D58" s="42" t="n">
        <x:v>0.210002989316</x:v>
      </x:c>
      <x:c r="E58" s="42" t="n">
        <x:v>0.016886059597</x:v>
      </x:c>
      <x:c r="F58" s="42" t="n">
        <x:v>-0.13675627193</x:v>
      </x:c>
      <x:c r="G58" s="42" t="n">
        <x:f>D58-D57</x:f>
        <x:v>0.04849096478100001</x:v>
      </x:c>
      <x:c r="H58" s="66" t="str">
        <x:v>direct VSPAERO</x:v>
      </x:c>
      <x:c r="I58" s="66" t="str">
        <x:v>direct VSPAERO full corrected closed model; GO incidence from VSP model</x:v>
      </x:c>
      <x:c r="J58" s="42" t="n">
        <x:v>0</x:v>
      </x:c>
      <x:c r="K58" s="66"/>
      <x:c r="L58" s="66"/>
      <x:c r="M58" s="66"/>
      <x:c r="N58" s="66"/>
      <x:c r="O58" s="66"/>
      <x:c r="P58" s="66"/>
      <x:c r="Q58" s="66"/>
      <x:c r="R58" s="66"/>
      <x:c r="S58" s="66"/>
      <x:c r="T58" s="66"/>
      <x:c r="U58" s="66"/>
      <x:c r="V58" s="66"/>
      <x:c r="W58" s="66"/>
      <x:c r="X58" s="66"/>
      <x:c r="Y58" s="66"/>
      <x:c r="Z58" s="66"/>
      <x:c r="AA58" s="66"/>
      <x:c r="AB58" s="66"/>
      <x:c r="AC58" s="66"/>
    </x:row>
    <x:row r="59">
      <x:c r="A59" s="53" t="n">
        <x:v>0.4</x:v>
      </x:c>
      <x:c r="B59" s="66" t="str">
        <x:v>дозвук</x:v>
      </x:c>
      <x:c r="C59" s="53" t="n">
        <x:v>5</x:v>
      </x:c>
      <x:c r="D59" s="42" t="n">
        <x:v>0.258642834164</x:v>
      </x:c>
      <x:c r="E59" s="42" t="n">
        <x:v>0.020926067003</x:v>
      </x:c>
      <x:c r="F59" s="42" t="n">
        <x:v>-0.175819094262</x:v>
      </x:c>
      <x:c r="G59" s="42" t="n">
        <x:f>D59-D58</x:f>
        <x:v>0.04863984484800002</x:v>
      </x:c>
      <x:c r="H59" s="66" t="str">
        <x:v>direct VSPAERO</x:v>
      </x:c>
      <x:c r="I59" s="66" t="str">
        <x:v>direct VSPAERO full corrected closed model; GO incidence from VSP model</x:v>
      </x:c>
      <x:c r="J59" s="42" t="n">
        <x:v>0</x:v>
      </x:c>
      <x:c r="K59" s="66"/>
      <x:c r="L59" s="66"/>
      <x:c r="M59" s="66"/>
      <x:c r="N59" s="66"/>
      <x:c r="O59" s="66"/>
      <x:c r="P59" s="66"/>
      <x:c r="Q59" s="66"/>
      <x:c r="R59" s="66"/>
      <x:c r="S59" s="66"/>
      <x:c r="T59" s="66"/>
      <x:c r="U59" s="66"/>
      <x:c r="V59" s="66"/>
      <x:c r="W59" s="66"/>
      <x:c r="X59" s="66"/>
      <x:c r="Y59" s="66"/>
      <x:c r="Z59" s="66"/>
      <x:c r="AA59" s="66"/>
      <x:c r="AB59" s="66"/>
      <x:c r="AC59" s="66"/>
    </x:row>
    <x:row r="60">
      <x:c r="A60" s="53" t="n">
        <x:v>0.5</x:v>
      </x:c>
      <x:c r="B60" s="66" t="str">
        <x:v>дозвук</x:v>
      </x:c>
      <x:c r="C60" s="53" t="n">
        <x:v>0</x:v>
      </x:c>
      <x:c r="D60" s="42" t="n">
        <x:v>0.016923964055</x:v>
      </x:c>
      <x:c r="E60" s="42" t="n">
        <x:v>0.008846798817</x:v>
      </x:c>
      <x:c r="F60" s="42" t="n">
        <x:v>0.012740193636</x:v>
      </x:c>
      <x:c r="G60" s="42"/>
      <x:c r="H60" s="66" t="str">
        <x:v>direct VSPAERO</x:v>
      </x:c>
      <x:c r="I60" s="66" t="str">
        <x:v>direct VSPAERO full corrected closed model; GO incidence from VSP model</x:v>
      </x:c>
      <x:c r="J60" s="42" t="n">
        <x:v>0</x:v>
      </x:c>
      <x:c r="K60" s="66"/>
      <x:c r="L60" s="66"/>
      <x:c r="M60" s="66"/>
      <x:c r="N60" s="66"/>
      <x:c r="O60" s="66"/>
      <x:c r="P60" s="66"/>
      <x:c r="Q60" s="66"/>
      <x:c r="R60" s="66"/>
      <x:c r="S60" s="66"/>
      <x:c r="T60" s="66"/>
      <x:c r="U60" s="66"/>
      <x:c r="V60" s="66"/>
      <x:c r="W60" s="66"/>
      <x:c r="X60" s="66"/>
      <x:c r="Y60" s="66"/>
      <x:c r="Z60" s="66"/>
      <x:c r="AA60" s="66"/>
      <x:c r="AB60" s="66"/>
      <x:c r="AC60" s="66"/>
    </x:row>
    <x:row r="61">
      <x:c r="A61" s="53" t="n">
        <x:v>0.5</x:v>
      </x:c>
      <x:c r="B61" s="66" t="str">
        <x:v>дозвук</x:v>
      </x:c>
      <x:c r="C61" s="53" t="n">
        <x:v>1</x:v>
      </x:c>
      <x:c r="D61" s="42" t="n">
        <x:v>0.065890019174</x:v>
      </x:c>
      <x:c r="E61" s="42" t="n">
        <x:v>0.009708246345</x:v>
      </x:c>
      <x:c r="F61" s="42" t="n">
        <x:v>-0.025020555477</x:v>
      </x:c>
      <x:c r="G61" s="42" t="n">
        <x:f>D61-D60</x:f>
        <x:v>0.048966055119</x:v>
      </x:c>
      <x:c r="H61" s="66" t="str">
        <x:v>direct VSPAERO</x:v>
      </x:c>
      <x:c r="I61" s="66" t="str">
        <x:v>direct VSPAERO full corrected closed model; GO incidence from VSP model</x:v>
      </x:c>
      <x:c r="J61" s="42" t="n">
        <x:v>0</x:v>
      </x:c>
      <x:c r="K61" s="66"/>
      <x:c r="L61" s="66"/>
      <x:c r="M61" s="66"/>
      <x:c r="N61" s="66"/>
      <x:c r="O61" s="66"/>
      <x:c r="P61" s="66"/>
      <x:c r="Q61" s="66"/>
      <x:c r="R61" s="66"/>
      <x:c r="S61" s="66"/>
      <x:c r="T61" s="66"/>
      <x:c r="U61" s="66"/>
      <x:c r="V61" s="66"/>
      <x:c r="W61" s="66"/>
      <x:c r="X61" s="66"/>
      <x:c r="Y61" s="66"/>
      <x:c r="Z61" s="66"/>
      <x:c r="AA61" s="66"/>
      <x:c r="AB61" s="66"/>
      <x:c r="AC61" s="66"/>
    </x:row>
    <x:row r="62">
      <x:c r="A62" s="53" t="n">
        <x:v>0.5</x:v>
      </x:c>
      <x:c r="B62" s="66" t="str">
        <x:v>дозвук</x:v>
      </x:c>
      <x:c r="C62" s="53" t="n">
        <x:v>2</x:v>
      </x:c>
      <x:c r="D62" s="42" t="n">
        <x:v>0.115550304306</x:v>
      </x:c>
      <x:c r="E62" s="42" t="n">
        <x:v>0.0114479934</x:v>
      </x:c>
      <x:c r="F62" s="42" t="n">
        <x:v>-0.064075615543</x:v>
      </x:c>
      <x:c r="G62" s="42" t="n">
        <x:f>D62-D61</x:f>
        <x:v>0.04966028513199999</x:v>
      </x:c>
      <x:c r="H62" s="66" t="str">
        <x:v>direct VSPAERO</x:v>
      </x:c>
      <x:c r="I62" s="66" t="str">
        <x:v>direct VSPAERO full corrected closed model; GO incidence from VSP model</x:v>
      </x:c>
      <x:c r="J62" s="42" t="n">
        <x:v>0</x:v>
      </x:c>
      <x:c r="K62" s="66"/>
      <x:c r="L62" s="66"/>
      <x:c r="M62" s="66"/>
      <x:c r="N62" s="66"/>
      <x:c r="O62" s="66"/>
      <x:c r="P62" s="66"/>
      <x:c r="Q62" s="66"/>
      <x:c r="R62" s="66"/>
      <x:c r="S62" s="66"/>
      <x:c r="T62" s="66"/>
      <x:c r="U62" s="66"/>
      <x:c r="V62" s="66"/>
      <x:c r="W62" s="66"/>
      <x:c r="X62" s="66"/>
      <x:c r="Y62" s="66"/>
      <x:c r="Z62" s="66"/>
      <x:c r="AA62" s="66"/>
      <x:c r="AB62" s="66"/>
      <x:c r="AC62" s="66"/>
    </x:row>
    <x:row r="63">
      <x:c r="A63" s="53" t="n">
        <x:v>0.5</x:v>
      </x:c>
      <x:c r="B63" s="66" t="str">
        <x:v>дозвук</x:v>
      </x:c>
      <x:c r="C63" s="53" t="n">
        <x:v>3</x:v>
      </x:c>
      <x:c r="D63" s="42" t="n">
        <x:v>0.164577906928</x:v>
      </x:c>
      <x:c r="E63" s="42" t="n">
        <x:v>0.014029338315</x:v>
      </x:c>
      <x:c r="F63" s="42" t="n">
        <x:v>-0.102744104073</x:v>
      </x:c>
      <x:c r="G63" s="42" t="n">
        <x:f>D63-D62</x:f>
        <x:v>0.04902760262200001</x:v>
      </x:c>
      <x:c r="H63" s="66" t="str">
        <x:v>direct VSPAERO</x:v>
      </x:c>
      <x:c r="I63" s="66" t="str">
        <x:v>direct VSPAERO full corrected closed model; GO incidence from VSP model</x:v>
      </x:c>
      <x:c r="J63" s="42" t="n">
        <x:v>0</x:v>
      </x:c>
      <x:c r="K63" s="66"/>
      <x:c r="L63" s="66"/>
      <x:c r="M63" s="66"/>
      <x:c r="N63" s="66"/>
      <x:c r="O63" s="66"/>
      <x:c r="P63" s="66"/>
      <x:c r="Q63" s="66"/>
      <x:c r="R63" s="66"/>
      <x:c r="S63" s="66"/>
      <x:c r="T63" s="66"/>
      <x:c r="U63" s="66"/>
      <x:c r="V63" s="66"/>
      <x:c r="W63" s="66"/>
      <x:c r="X63" s="66"/>
      <x:c r="Y63" s="66"/>
      <x:c r="Z63" s="66"/>
      <x:c r="AA63" s="66"/>
      <x:c r="AB63" s="66"/>
      <x:c r="AC63" s="66"/>
    </x:row>
    <x:row r="64">
      <x:c r="A64" s="53" t="n">
        <x:v>0.5</x:v>
      </x:c>
      <x:c r="B64" s="66" t="str">
        <x:v>дозвук</x:v>
      </x:c>
      <x:c r="C64" s="53" t="n">
        <x:v>4</x:v>
      </x:c>
      <x:c r="D64" s="42" t="n">
        <x:v>0.21372432759</x:v>
      </x:c>
      <x:c r="E64" s="42" t="n">
        <x:v>0.017434403012</x:v>
      </x:c>
      <x:c r="F64" s="42" t="n">
        <x:v>-0.141947854002</x:v>
      </x:c>
      <x:c r="G64" s="42" t="n">
        <x:f>D64-D63</x:f>
        <x:v>0.04914642066200001</x:v>
      </x:c>
      <x:c r="H64" s="66" t="str">
        <x:v>direct VSPAERO</x:v>
      </x:c>
      <x:c r="I64" s="66" t="str">
        <x:v>direct VSPAERO full corrected closed model; GO incidence from VSP model</x:v>
      </x:c>
      <x:c r="J64" s="42" t="n">
        <x:v>0</x:v>
      </x:c>
      <x:c r="K64" s="66"/>
      <x:c r="L64" s="66"/>
      <x:c r="M64" s="66"/>
      <x:c r="N64" s="66"/>
      <x:c r="O64" s="66"/>
      <x:c r="P64" s="66"/>
      <x:c r="Q64" s="66"/>
      <x:c r="R64" s="66"/>
      <x:c r="S64" s="66"/>
      <x:c r="T64" s="66"/>
      <x:c r="U64" s="66"/>
      <x:c r="V64" s="66"/>
      <x:c r="W64" s="66"/>
      <x:c r="X64" s="66"/>
      <x:c r="Y64" s="66"/>
      <x:c r="Z64" s="66"/>
      <x:c r="AA64" s="66"/>
      <x:c r="AB64" s="66"/>
      <x:c r="AC64" s="66"/>
    </x:row>
    <x:row r="65">
      <x:c r="A65" s="53" t="n">
        <x:v>0.5</x:v>
      </x:c>
      <x:c r="B65" s="66" t="str">
        <x:v>дозвук</x:v>
      </x:c>
      <x:c r="C65" s="53" t="n">
        <x:v>5</x:v>
      </x:c>
      <x:c r="D65" s="42" t="n">
        <x:v>0.262891142678</x:v>
      </x:c>
      <x:c r="E65" s="42" t="n">
        <x:v>0.021642207258</x:v>
      </x:c>
      <x:c r="F65" s="42" t="n">
        <x:v>-0.180995749911</x:v>
      </x:c>
      <x:c r="G65" s="42" t="n">
        <x:f>D65-D64</x:f>
        <x:v>0.049166815088</x:v>
      </x:c>
      <x:c r="H65" s="66" t="str">
        <x:v>direct VSPAERO</x:v>
      </x:c>
      <x:c r="I65" s="66" t="str">
        <x:v>direct VSPAERO full corrected closed model; GO incidence from VSP model</x:v>
      </x:c>
      <x:c r="J65" s="42" t="n">
        <x:v>0</x:v>
      </x:c>
      <x:c r="K65" s="66"/>
      <x:c r="L65" s="66"/>
      <x:c r="M65" s="66"/>
      <x:c r="N65" s="66"/>
      <x:c r="O65" s="66"/>
      <x:c r="P65" s="66"/>
      <x:c r="Q65" s="66"/>
      <x:c r="R65" s="66"/>
      <x:c r="S65" s="66"/>
      <x:c r="T65" s="66"/>
      <x:c r="U65" s="66"/>
      <x:c r="V65" s="66"/>
      <x:c r="W65" s="66"/>
      <x:c r="X65" s="66"/>
      <x:c r="Y65" s="66"/>
      <x:c r="Z65" s="66"/>
      <x:c r="AA65" s="66"/>
      <x:c r="AB65" s="66"/>
      <x:c r="AC65" s="66"/>
    </x:row>
    <x:row r="66">
      <x:c r="A66" s="53" t="n">
        <x:v>0.6</x:v>
      </x:c>
      <x:c r="B66" s="66" t="str">
        <x:v>дозвук</x:v>
      </x:c>
      <x:c r="C66" s="53" t="n">
        <x:v>0</x:v>
      </x:c>
      <x:c r="D66" s="42" t="n">
        <x:v>0.017471626806</x:v>
      </x:c>
      <x:c r="E66" s="42" t="n">
        <x:v>0.009136832198</x:v>
      </x:c>
      <x:c r="F66" s="42" t="n">
        <x:v>0.010620700687</x:v>
      </x:c>
      <x:c r="G66" s="42"/>
      <x:c r="H66" s="66" t="str">
        <x:v>direct VSPAERO</x:v>
      </x:c>
      <x:c r="I66" s="66" t="str">
        <x:v>direct VSPAERO full corrected closed model; GO incidence from VSP model</x:v>
      </x:c>
      <x:c r="J66" s="42" t="n">
        <x:v>0</x:v>
      </x:c>
      <x:c r="K66" s="66"/>
      <x:c r="L66" s="66"/>
      <x:c r="M66" s="66"/>
      <x:c r="N66" s="66"/>
      <x:c r="O66" s="66"/>
      <x:c r="P66" s="66"/>
      <x:c r="Q66" s="66"/>
      <x:c r="R66" s="66"/>
      <x:c r="S66" s="66"/>
      <x:c r="T66" s="66"/>
      <x:c r="U66" s="66"/>
      <x:c r="V66" s="66"/>
      <x:c r="W66" s="66"/>
      <x:c r="X66" s="66"/>
      <x:c r="Y66" s="66"/>
      <x:c r="Z66" s="66"/>
      <x:c r="AA66" s="66"/>
      <x:c r="AB66" s="66"/>
      <x:c r="AC66" s="66"/>
    </x:row>
    <x:row r="67">
      <x:c r="A67" s="53" t="n">
        <x:v>0.6</x:v>
      </x:c>
      <x:c r="B67" s="66" t="str">
        <x:v>дозвук</x:v>
      </x:c>
      <x:c r="C67" s="53" t="n">
        <x:v>1</x:v>
      </x:c>
      <x:c r="D67" s="42" t="n">
        <x:v>0.067804900789</x:v>
      </x:c>
      <x:c r="E67" s="42" t="n">
        <x:v>0.010044696547</x:v>
      </x:c>
      <x:c r="F67" s="42" t="n">
        <x:v>-0.028683046048</x:v>
      </x:c>
      <x:c r="G67" s="42" t="n">
        <x:f>D67-D66</x:f>
        <x:v>0.050333273983000006</x:v>
      </x:c>
      <x:c r="H67" s="66" t="str">
        <x:v>direct VSPAERO</x:v>
      </x:c>
      <x:c r="I67" s="66" t="str">
        <x:v>direct VSPAERO full corrected closed model; GO incidence from VSP model</x:v>
      </x:c>
      <x:c r="J67" s="42" t="n">
        <x:v>0</x:v>
      </x:c>
      <x:c r="K67" s="66"/>
      <x:c r="L67" s="66"/>
      <x:c r="M67" s="66"/>
      <x:c r="N67" s="66"/>
      <x:c r="O67" s="66"/>
      <x:c r="P67" s="66"/>
      <x:c r="Q67" s="66"/>
      <x:c r="R67" s="66"/>
      <x:c r="S67" s="66"/>
      <x:c r="T67" s="66"/>
      <x:c r="U67" s="66"/>
      <x:c r="V67" s="66"/>
      <x:c r="W67" s="66"/>
      <x:c r="X67" s="66"/>
      <x:c r="Y67" s="66"/>
      <x:c r="Z67" s="66"/>
      <x:c r="AA67" s="66"/>
      <x:c r="AB67" s="66"/>
      <x:c r="AC67" s="66"/>
    </x:row>
    <x:row r="68">
      <x:c r="A68" s="53" t="n">
        <x:v>0.6</x:v>
      </x:c>
      <x:c r="B68" s="66" t="str">
        <x:v>дозвук</x:v>
      </x:c>
      <x:c r="C68" s="53" t="n">
        <x:v>2</x:v>
      </x:c>
      <x:c r="D68" s="42" t="n">
        <x:v>0.118904763148</x:v>
      </x:c>
      <x:c r="E68" s="42" t="n">
        <x:v>0.011900551214</x:v>
      </x:c>
      <x:c r="F68" s="42" t="n">
        <x:v>-0.069179429879</x:v>
      </x:c>
      <x:c r="G68" s="42" t="n">
        <x:f>D68-D67</x:f>
        <x:v>0.05109986235899999</x:v>
      </x:c>
      <x:c r="H68" s="66" t="str">
        <x:v>direct VSPAERO</x:v>
      </x:c>
      <x:c r="I68" s="66" t="str">
        <x:v>direct VSPAERO full corrected closed model; GO incidence from VSP model</x:v>
      </x:c>
      <x:c r="J68" s="42" t="n">
        <x:v>0</x:v>
      </x:c>
      <x:c r="K68" s="66"/>
      <x:c r="L68" s="66"/>
      <x:c r="M68" s="66"/>
      <x:c r="N68" s="66"/>
      <x:c r="O68" s="66"/>
      <x:c r="P68" s="66"/>
      <x:c r="Q68" s="66"/>
      <x:c r="R68" s="66"/>
      <x:c r="S68" s="66"/>
      <x:c r="T68" s="66"/>
      <x:c r="U68" s="66"/>
      <x:c r="V68" s="66"/>
      <x:c r="W68" s="66"/>
      <x:c r="X68" s="66"/>
      <x:c r="Y68" s="66"/>
      <x:c r="Z68" s="66"/>
      <x:c r="AA68" s="66"/>
      <x:c r="AB68" s="66"/>
      <x:c r="AC68" s="66"/>
    </x:row>
    <x:row r="69">
      <x:c r="A69" s="53" t="n">
        <x:v>0.6</x:v>
      </x:c>
      <x:c r="B69" s="66" t="str">
        <x:v>дозвук</x:v>
      </x:c>
      <x:c r="C69" s="53" t="n">
        <x:v>3</x:v>
      </x:c>
      <x:c r="D69" s="42" t="n">
        <x:v>0.169127523065</x:v>
      </x:c>
      <x:c r="E69" s="42" t="n">
        <x:v>0.014645773622</x:v>
      </x:c>
      <x:c r="F69" s="42" t="n">
        <x:v>-0.109105515406</x:v>
      </x:c>
      <x:c r="G69" s="42" t="n">
        <x:f>D69-D68</x:f>
        <x:v>0.05022275991700001</x:v>
      </x:c>
      <x:c r="H69" s="66" t="str">
        <x:v>direct VSPAERO</x:v>
      </x:c>
      <x:c r="I69" s="66" t="str">
        <x:v>direct VSPAERO full corrected closed model; GO incidence from VSP model</x:v>
      </x:c>
      <x:c r="J69" s="42" t="n">
        <x:v>0</x:v>
      </x:c>
      <x:c r="K69" s="66"/>
      <x:c r="L69" s="66"/>
      <x:c r="M69" s="66"/>
      <x:c r="N69" s="66"/>
      <x:c r="O69" s="66"/>
      <x:c r="P69" s="66"/>
      <x:c r="Q69" s="66"/>
      <x:c r="R69" s="66"/>
      <x:c r="S69" s="66"/>
      <x:c r="T69" s="66"/>
      <x:c r="U69" s="66"/>
      <x:c r="V69" s="66"/>
      <x:c r="W69" s="66"/>
      <x:c r="X69" s="66"/>
      <x:c r="Y69" s="66"/>
      <x:c r="Z69" s="66"/>
      <x:c r="AA69" s="66"/>
      <x:c r="AB69" s="66"/>
      <x:c r="AC69" s="66"/>
    </x:row>
    <x:row r="70">
      <x:c r="A70" s="53" t="n">
        <x:v>0.6</x:v>
      </x:c>
      <x:c r="B70" s="66" t="str">
        <x:v>дозвук</x:v>
      </x:c>
      <x:c r="C70" s="53" t="n">
        <x:v>4</x:v>
      </x:c>
      <x:c r="D70" s="42" t="n">
        <x:v>0.219511016632</x:v>
      </x:c>
      <x:c r="E70" s="42" t="n">
        <x:v>0.018282719413</x:v>
      </x:c>
      <x:c r="F70" s="42" t="n">
        <x:v>-0.149624474275</x:v>
      </x:c>
      <x:c r="G70" s="42" t="n">
        <x:f>D70-D69</x:f>
        <x:v>0.050383493567000004</x:v>
      </x:c>
      <x:c r="H70" s="66" t="str">
        <x:v>direct VSPAERO</x:v>
      </x:c>
      <x:c r="I70" s="66" t="str">
        <x:v>direct VSPAERO full corrected closed model; GO incidence from VSP model</x:v>
      </x:c>
      <x:c r="J70" s="42" t="n">
        <x:v>0</x:v>
      </x:c>
      <x:c r="K70" s="66"/>
      <x:c r="L70" s="66"/>
      <x:c r="M70" s="66"/>
      <x:c r="N70" s="66"/>
      <x:c r="O70" s="66"/>
      <x:c r="P70" s="66"/>
      <x:c r="Q70" s="66"/>
      <x:c r="R70" s="66"/>
      <x:c r="S70" s="66"/>
      <x:c r="T70" s="66"/>
      <x:c r="U70" s="66"/>
      <x:c r="V70" s="66"/>
      <x:c r="W70" s="66"/>
      <x:c r="X70" s="66"/>
      <x:c r="Y70" s="66"/>
      <x:c r="Z70" s="66"/>
      <x:c r="AA70" s="66"/>
      <x:c r="AB70" s="66"/>
      <x:c r="AC70" s="66"/>
    </x:row>
    <x:row r="71">
      <x:c r="A71" s="53" t="n">
        <x:v>0.6</x:v>
      </x:c>
      <x:c r="B71" s="66" t="str">
        <x:v>дозвук</x:v>
      </x:c>
      <x:c r="C71" s="53" t="n">
        <x:v>5</x:v>
      </x:c>
      <x:c r="D71" s="42" t="n">
        <x:v>0.269959901455</x:v>
      </x:c>
      <x:c r="E71" s="42" t="n">
        <x:v>0.022767623018</x:v>
      </x:c>
      <x:c r="F71" s="42" t="n">
        <x:v>-0.190023797726</x:v>
      </x:c>
      <x:c r="G71" s="42" t="n">
        <x:f>D71-D70</x:f>
        <x:v>0.05044888482299997</x:v>
      </x:c>
      <x:c r="H71" s="66" t="str">
        <x:v>direct VSPAERO</x:v>
      </x:c>
      <x:c r="I71" s="66" t="str">
        <x:v>direct VSPAERO full corrected closed model; GO incidence from VSP model</x:v>
      </x:c>
      <x:c r="J71" s="42" t="n">
        <x:v>0</x:v>
      </x:c>
      <x:c r="K71" s="66"/>
      <x:c r="L71" s="66"/>
      <x:c r="M71" s="66"/>
      <x:c r="N71" s="66"/>
      <x:c r="O71" s="66"/>
      <x:c r="P71" s="66"/>
      <x:c r="Q71" s="66"/>
      <x:c r="R71" s="66"/>
      <x:c r="S71" s="66"/>
      <x:c r="T71" s="66"/>
      <x:c r="U71" s="66"/>
      <x:c r="V71" s="66"/>
      <x:c r="W71" s="66"/>
      <x:c r="X71" s="66"/>
      <x:c r="Y71" s="66"/>
      <x:c r="Z71" s="66"/>
      <x:c r="AA71" s="66"/>
      <x:c r="AB71" s="66"/>
      <x:c r="AC71" s="66"/>
    </x:row>
    <x:row r="72">
      <x:c r="A72" s="53" t="n">
        <x:v>0.7</x:v>
      </x:c>
      <x:c r="B72" s="66" t="str">
        <x:v>дозвук</x:v>
      </x:c>
      <x:c r="C72" s="53" t="n">
        <x:v>0</x:v>
      </x:c>
      <x:c r="D72" s="42" t="n">
        <x:v>0.019773117897</x:v>
      </x:c>
      <x:c r="E72" s="42" t="n">
        <x:v>0.009582135496</x:v>
      </x:c>
      <x:c r="F72" s="42" t="n">
        <x:v>0.006329038472</x:v>
      </x:c>
      <x:c r="G72" s="42"/>
      <x:c r="H72" s="66" t="str">
        <x:v>direct VSPAERO</x:v>
      </x:c>
      <x:c r="I72" s="66" t="str">
        <x:v>direct VSPAERO full corrected closed model; GO incidence from VSP model</x:v>
      </x:c>
      <x:c r="J72" s="42" t="n">
        <x:v>0</x:v>
      </x:c>
      <x:c r="K72" s="66"/>
      <x:c r="L72" s="66"/>
      <x:c r="M72" s="66"/>
      <x:c r="N72" s="66"/>
      <x:c r="O72" s="66"/>
      <x:c r="P72" s="66"/>
      <x:c r="Q72" s="66"/>
      <x:c r="R72" s="66"/>
      <x:c r="S72" s="66"/>
      <x:c r="T72" s="66"/>
      <x:c r="U72" s="66"/>
      <x:c r="V72" s="66"/>
      <x:c r="W72" s="66"/>
      <x:c r="X72" s="66"/>
      <x:c r="Y72" s="66"/>
      <x:c r="Z72" s="66"/>
      <x:c r="AA72" s="66"/>
      <x:c r="AB72" s="66"/>
      <x:c r="AC72" s="66"/>
    </x:row>
    <x:row r="73">
      <x:c r="A73" s="53" t="n">
        <x:v>0.7</x:v>
      </x:c>
      <x:c r="B73" s="66" t="str">
        <x:v>дозвук</x:v>
      </x:c>
      <x:c r="C73" s="53" t="n">
        <x:v>1</x:v>
      </x:c>
      <x:c r="D73" s="42" t="n">
        <x:v>0.071668375236</x:v>
      </x:c>
      <x:c r="E73" s="42" t="n">
        <x:v>0.010596100512</x:v>
      </x:c>
      <x:c r="F73" s="42" t="n">
        <x:v>-0.03475626457</x:v>
      </x:c>
      <x:c r="G73" s="42" t="n">
        <x:f>D73-D72</x:f>
        <x:v>0.05189525733900001</x:v>
      </x:c>
      <x:c r="H73" s="66" t="str">
        <x:v>direct VSPAERO</x:v>
      </x:c>
      <x:c r="I73" s="66" t="str">
        <x:v>direct VSPAERO full corrected closed model; GO incidence from VSP model</x:v>
      </x:c>
      <x:c r="J73" s="42" t="n">
        <x:v>0</x:v>
      </x:c>
      <x:c r="K73" s="66"/>
      <x:c r="L73" s="66"/>
      <x:c r="M73" s="66"/>
      <x:c r="N73" s="66"/>
      <x:c r="O73" s="66"/>
      <x:c r="P73" s="66"/>
      <x:c r="Q73" s="66"/>
      <x:c r="R73" s="66"/>
      <x:c r="S73" s="66"/>
      <x:c r="T73" s="66"/>
      <x:c r="U73" s="66"/>
      <x:c r="V73" s="66"/>
      <x:c r="W73" s="66"/>
      <x:c r="X73" s="66"/>
      <x:c r="Y73" s="66"/>
      <x:c r="Z73" s="66"/>
      <x:c r="AA73" s="66"/>
      <x:c r="AB73" s="66"/>
      <x:c r="AC73" s="66"/>
    </x:row>
    <x:row r="74">
      <x:c r="A74" s="53" t="n">
        <x:v>0.7</x:v>
      </x:c>
      <x:c r="B74" s="66" t="str">
        <x:v>дозвук</x:v>
      </x:c>
      <x:c r="C74" s="53" t="n">
        <x:v>2</x:v>
      </x:c>
      <x:c r="D74" s="42" t="n">
        <x:v>0.124569326935</x:v>
      </x:c>
      <x:c r="E74" s="42" t="n">
        <x:v>0.012633525093</x:v>
      </x:c>
      <x:c r="F74" s="42" t="n">
        <x:v>-0.07707904474</x:v>
      </x:c>
      <x:c r="G74" s="42" t="n">
        <x:f>D74-D73</x:f>
        <x:v>0.052900951699</x:v>
      </x:c>
      <x:c r="H74" s="66" t="str">
        <x:v>direct VSPAERO</x:v>
      </x:c>
      <x:c r="I74" s="66" t="str">
        <x:v>direct VSPAERO full corrected closed model; GO incidence from VSP model</x:v>
      </x:c>
      <x:c r="J74" s="42" t="n">
        <x:v>0</x:v>
      </x:c>
      <x:c r="K74" s="66"/>
      <x:c r="L74" s="66"/>
      <x:c r="M74" s="66"/>
      <x:c r="N74" s="66"/>
      <x:c r="O74" s="66"/>
      <x:c r="P74" s="66"/>
      <x:c r="Q74" s="66"/>
      <x:c r="R74" s="66"/>
      <x:c r="S74" s="66"/>
      <x:c r="T74" s="66"/>
      <x:c r="U74" s="66"/>
      <x:c r="V74" s="66"/>
      <x:c r="W74" s="66"/>
      <x:c r="X74" s="66"/>
      <x:c r="Y74" s="66"/>
      <x:c r="Z74" s="66"/>
      <x:c r="AA74" s="66"/>
      <x:c r="AB74" s="66"/>
      <x:c r="AC74" s="66"/>
    </x:row>
    <x:row r="75">
      <x:c r="A75" s="53" t="n">
        <x:v>0.7</x:v>
      </x:c>
      <x:c r="B75" s="66" t="str">
        <x:v>дозвук</x:v>
      </x:c>
      <x:c r="C75" s="53" t="n">
        <x:v>3</x:v>
      </x:c>
      <x:c r="D75" s="42" t="n">
        <x:v>0.17626888317</x:v>
      </x:c>
      <x:c r="E75" s="42" t="n">
        <x:v>0.015627547251</x:v>
      </x:c>
      <x:c r="F75" s="42" t="n">
        <x:v>-0.118681217789</x:v>
      </x:c>
      <x:c r="G75" s="42" t="n">
        <x:f>D75-D74</x:f>
        <x:v>0.051699556235</x:v>
      </x:c>
      <x:c r="H75" s="66" t="str">
        <x:v>direct VSPAERO</x:v>
      </x:c>
      <x:c r="I75" s="66" t="str">
        <x:v>direct VSPAERO full corrected closed model; GO incidence from VSP model</x:v>
      </x:c>
      <x:c r="J75" s="42" t="n">
        <x:v>0</x:v>
      </x:c>
      <x:c r="K75" s="66"/>
      <x:c r="L75" s="66"/>
      <x:c r="M75" s="66"/>
      <x:c r="N75" s="66"/>
      <x:c r="O75" s="66"/>
      <x:c r="P75" s="66"/>
      <x:c r="Q75" s="66"/>
      <x:c r="R75" s="66"/>
      <x:c r="S75" s="66"/>
      <x:c r="T75" s="66"/>
      <x:c r="U75" s="66"/>
      <x:c r="V75" s="66"/>
      <x:c r="W75" s="66"/>
      <x:c r="X75" s="66"/>
      <x:c r="Y75" s="66"/>
      <x:c r="Z75" s="66"/>
      <x:c r="AA75" s="66"/>
      <x:c r="AB75" s="66"/>
      <x:c r="AC75" s="66"/>
    </x:row>
    <x:row r="76">
      <x:c r="A76" s="53" t="n">
        <x:v>0.7</x:v>
      </x:c>
      <x:c r="B76" s="66" t="str">
        <x:v>дозвук</x:v>
      </x:c>
      <x:c r="C76" s="53" t="n">
        <x:v>4</x:v>
      </x:c>
      <x:c r="D76" s="42" t="n">
        <x:v>0.228201910395</x:v>
      </x:c>
      <x:c r="E76" s="42" t="n">
        <x:v>0.019594534998</x:v>
      </x:c>
      <x:c r="F76" s="42" t="n">
        <x:v>-0.160843869343</x:v>
      </x:c>
      <x:c r="G76" s="42" t="n">
        <x:f>D76-D75</x:f>
        <x:v>0.05193302722500001</x:v>
      </x:c>
      <x:c r="H76" s="66" t="str">
        <x:v>direct VSPAERO</x:v>
      </x:c>
      <x:c r="I76" s="66" t="str">
        <x:v>direct VSPAERO full corrected closed model; GO incidence from VSP model</x:v>
      </x:c>
      <x:c r="J76" s="42" t="n">
        <x:v>0</x:v>
      </x:c>
      <x:c r="K76" s="66"/>
      <x:c r="L76" s="66"/>
      <x:c r="M76" s="66"/>
      <x:c r="N76" s="66"/>
      <x:c r="O76" s="66"/>
      <x:c r="P76" s="66"/>
      <x:c r="Q76" s="66"/>
      <x:c r="R76" s="66"/>
      <x:c r="S76" s="66"/>
      <x:c r="T76" s="66"/>
      <x:c r="U76" s="66"/>
      <x:c r="V76" s="66"/>
      <x:c r="W76" s="66"/>
      <x:c r="X76" s="66"/>
      <x:c r="Y76" s="66"/>
      <x:c r="Z76" s="66"/>
      <x:c r="AA76" s="66"/>
      <x:c r="AB76" s="66"/>
      <x:c r="AC76" s="66"/>
    </x:row>
    <x:row r="77">
      <x:c r="A77" s="53" t="n">
        <x:v>0.7</x:v>
      </x:c>
      <x:c r="B77" s="66" t="str">
        <x:v>дозвук</x:v>
      </x:c>
      <x:c r="C77" s="53" t="n">
        <x:v>5</x:v>
      </x:c>
      <x:c r="D77" s="42" t="n">
        <x:v>0.280100418186</x:v>
      </x:c>
      <x:c r="E77" s="42" t="n">
        <x:v>0.024492749739</x:v>
      </x:c>
      <x:c r="F77" s="42" t="n">
        <x:v>-0.202872617667</x:v>
      </x:c>
      <x:c r="G77" s="42" t="n">
        <x:f>D77-D76</x:f>
        <x:v>0.051898507791</x:v>
      </x:c>
      <x:c r="H77" s="66" t="str">
        <x:v>direct VSPAERO</x:v>
      </x:c>
      <x:c r="I77" s="66" t="str">
        <x:v>direct VSPAERO full corrected closed model; GO incidence from VSP model</x:v>
      </x:c>
      <x:c r="J77" s="42" t="n">
        <x:v>0</x:v>
      </x:c>
      <x:c r="K77" s="66"/>
      <x:c r="L77" s="66"/>
      <x:c r="M77" s="66"/>
      <x:c r="N77" s="66"/>
      <x:c r="O77" s="66"/>
      <x:c r="P77" s="66"/>
      <x:c r="Q77" s="66"/>
      <x:c r="R77" s="66"/>
      <x:c r="S77" s="66"/>
      <x:c r="T77" s="66"/>
      <x:c r="U77" s="66"/>
      <x:c r="V77" s="66"/>
      <x:c r="W77" s="66"/>
      <x:c r="X77" s="66"/>
      <x:c r="Y77" s="66"/>
      <x:c r="Z77" s="66"/>
      <x:c r="AA77" s="66"/>
      <x:c r="AB77" s="66"/>
      <x:c r="AC77" s="66"/>
    </x:row>
    <x:row r="78">
      <x:c r="A78" s="53" t="n">
        <x:v>0.8</x:v>
      </x:c>
      <x:c r="B78" s="66" t="str">
        <x:v>дозвук</x:v>
      </x:c>
      <x:c r="C78" s="53" t="n">
        <x:v>0</x:v>
      </x:c>
      <x:c r="D78" s="42" t="n">
        <x:v>0.025953259836</x:v>
      </x:c>
      <x:c r="E78" s="42" t="n">
        <x:v>0.010403439816</x:v>
      </x:c>
      <x:c r="F78" s="42" t="n">
        <x:v>-0.002025355595</x:v>
      </x:c>
      <x:c r="G78" s="42"/>
      <x:c r="H78" s="66" t="str">
        <x:v>direct VSPAERO</x:v>
      </x:c>
      <x:c r="I78" s="66" t="str">
        <x:v>direct VSPAERO full corrected closed model; GO incidence from VSP model</x:v>
      </x:c>
      <x:c r="J78" s="42" t="n">
        <x:v>0</x:v>
      </x:c>
      <x:c r="K78" s="66"/>
      <x:c r="L78" s="66"/>
      <x:c r="M78" s="66"/>
      <x:c r="N78" s="66"/>
      <x:c r="O78" s="66"/>
      <x:c r="P78" s="66"/>
      <x:c r="Q78" s="66"/>
      <x:c r="R78" s="66"/>
      <x:c r="S78" s="66"/>
      <x:c r="T78" s="66"/>
      <x:c r="U78" s="66"/>
      <x:c r="V78" s="66"/>
      <x:c r="W78" s="66"/>
      <x:c r="X78" s="66"/>
      <x:c r="Y78" s="66"/>
      <x:c r="Z78" s="66"/>
      <x:c r="AA78" s="66"/>
      <x:c r="AB78" s="66"/>
      <x:c r="AC78" s="66"/>
    </x:row>
    <x:row r="79">
      <x:c r="A79" s="53" t="n">
        <x:v>0.8</x:v>
      </x:c>
      <x:c r="B79" s="66" t="str">
        <x:v>дозвук</x:v>
      </x:c>
      <x:c r="C79" s="53" t="n">
        <x:v>1</x:v>
      </x:c>
      <x:c r="D79" s="42" t="n">
        <x:v>0.080463545107</x:v>
      </x:c>
      <x:c r="E79" s="42" t="n">
        <x:v>0.011727496853</x:v>
      </x:c>
      <x:c r="F79" s="42" t="n">
        <x:v>-0.046343847853</x:v>
      </x:c>
      <x:c r="G79" s="42" t="n">
        <x:f>D79-D78</x:f>
        <x:v>0.054510285271000006</x:v>
      </x:c>
      <x:c r="H79" s="66" t="str">
        <x:v>direct VSPAERO</x:v>
      </x:c>
      <x:c r="I79" s="66" t="str">
        <x:v>direct VSPAERO full corrected closed model; GO incidence from VSP model</x:v>
      </x:c>
      <x:c r="J79" s="42" t="n">
        <x:v>0</x:v>
      </x:c>
      <x:c r="K79" s="66"/>
      <x:c r="L79" s="66"/>
      <x:c r="M79" s="66"/>
      <x:c r="N79" s="66"/>
      <x:c r="O79" s="66"/>
      <x:c r="P79" s="66"/>
      <x:c r="Q79" s="66"/>
      <x:c r="R79" s="66"/>
      <x:c r="S79" s="66"/>
      <x:c r="T79" s="66"/>
      <x:c r="U79" s="66"/>
      <x:c r="V79" s="66"/>
      <x:c r="W79" s="66"/>
      <x:c r="X79" s="66"/>
      <x:c r="Y79" s="66"/>
      <x:c r="Z79" s="66"/>
      <x:c r="AA79" s="66"/>
      <x:c r="AB79" s="66"/>
      <x:c r="AC79" s="66"/>
    </x:row>
    <x:row r="80">
      <x:c r="A80" s="53" t="n">
        <x:v>0.8</x:v>
      </x:c>
      <x:c r="B80" s="66" t="str">
        <x:v>дозвук</x:v>
      </x:c>
      <x:c r="C80" s="53" t="n">
        <x:v>2</x:v>
      </x:c>
      <x:c r="D80" s="42" t="n">
        <x:v>0.13496163626</x:v>
      </x:c>
      <x:c r="E80" s="42" t="n">
        <x:v>0.014007049673</x:v>
      </x:c>
      <x:c r="F80" s="42" t="n">
        <x:v>-0.09085566538</x:v>
      </x:c>
      <x:c r="G80" s="42" t="n">
        <x:f>D80-D79</x:f>
        <x:v>0.054498091152999986</x:v>
      </x:c>
      <x:c r="H80" s="66" t="str">
        <x:v>direct VSPAERO</x:v>
      </x:c>
      <x:c r="I80" s="66" t="str">
        <x:v>direct VSPAERO full corrected closed model; GO incidence from VSP model</x:v>
      </x:c>
      <x:c r="J80" s="42" t="n">
        <x:v>0</x:v>
      </x:c>
      <x:c r="K80" s="66"/>
      <x:c r="L80" s="66"/>
      <x:c r="M80" s="66"/>
      <x:c r="N80" s="66"/>
      <x:c r="O80" s="66"/>
      <x:c r="P80" s="66"/>
      <x:c r="Q80" s="66"/>
      <x:c r="R80" s="66"/>
      <x:c r="S80" s="66"/>
      <x:c r="T80" s="66"/>
      <x:c r="U80" s="66"/>
      <x:c r="V80" s="66"/>
      <x:c r="W80" s="66"/>
      <x:c r="X80" s="66"/>
      <x:c r="Y80" s="66"/>
      <x:c r="Z80" s="66"/>
      <x:c r="AA80" s="66"/>
      <x:c r="AB80" s="66"/>
      <x:c r="AC80" s="66"/>
    </x:row>
    <x:row r="81">
      <x:c r="A81" s="53" t="n">
        <x:v>0.8</x:v>
      </x:c>
      <x:c r="B81" s="66" t="str">
        <x:v>дозвук</x:v>
      </x:c>
      <x:c r="C81" s="53" t="n">
        <x:v>3</x:v>
      </x:c>
      <x:c r="D81" s="42" t="n">
        <x:v>0.189366861917</x:v>
      </x:c>
      <x:c r="E81" s="42" t="n">
        <x:v>0.017431557419</x:v>
      </x:c>
      <x:c r="F81" s="42" t="n">
        <x:v>-0.135526535332</x:v>
      </x:c>
      <x:c r="G81" s="42" t="n">
        <x:f>D81-D80</x:f>
        <x:v>0.05440522565700001</x:v>
      </x:c>
      <x:c r="H81" s="66" t="str">
        <x:v>direct VSPAERO</x:v>
      </x:c>
      <x:c r="I81" s="66" t="str">
        <x:v>direct VSPAERO full corrected closed model; GO incidence from VSP model</x:v>
      </x:c>
      <x:c r="J81" s="42" t="n">
        <x:v>0</x:v>
      </x:c>
      <x:c r="K81" s="66"/>
      <x:c r="L81" s="66"/>
      <x:c r="M81" s="66"/>
      <x:c r="N81" s="66"/>
      <x:c r="O81" s="66"/>
      <x:c r="P81" s="66"/>
      <x:c r="Q81" s="66"/>
      <x:c r="R81" s="66"/>
      <x:c r="S81" s="66"/>
      <x:c r="T81" s="66"/>
      <x:c r="U81" s="66"/>
      <x:c r="V81" s="66"/>
      <x:c r="W81" s="66"/>
      <x:c r="X81" s="66"/>
      <x:c r="Y81" s="66"/>
      <x:c r="Z81" s="66"/>
      <x:c r="AA81" s="66"/>
      <x:c r="AB81" s="66"/>
      <x:c r="AC81" s="66"/>
    </x:row>
    <x:row r="82">
      <x:c r="A82" s="53" t="n">
        <x:v>0.8</x:v>
      </x:c>
      <x:c r="B82" s="66" t="str">
        <x:v>дозвук</x:v>
      </x:c>
      <x:c r="C82" s="53" t="n">
        <x:v>4</x:v>
      </x:c>
      <x:c r="D82" s="42" t="n">
        <x:v>0.243423509126</x:v>
      </x:c>
      <x:c r="E82" s="42" t="n">
        <x:v>0.021973564802</x:v>
      </x:c>
      <x:c r="F82" s="42" t="n">
        <x:v>-0.180139786258</x:v>
      </x:c>
      <x:c r="G82" s="42" t="n">
        <x:f>D82-D81</x:f>
        <x:v>0.054056647209</x:v>
      </x:c>
      <x:c r="H82" s="66" t="str">
        <x:v>direct VSPAERO</x:v>
      </x:c>
      <x:c r="I82" s="66" t="str">
        <x:v>direct VSPAERO full corrected closed model; GO incidence from VSP model</x:v>
      </x:c>
      <x:c r="J82" s="42" t="n">
        <x:v>0</x:v>
      </x:c>
      <x:c r="K82" s="66"/>
      <x:c r="L82" s="66"/>
      <x:c r="M82" s="66"/>
      <x:c r="N82" s="66"/>
      <x:c r="O82" s="66"/>
      <x:c r="P82" s="66"/>
      <x:c r="Q82" s="66"/>
      <x:c r="R82" s="66"/>
      <x:c r="S82" s="66"/>
      <x:c r="T82" s="66"/>
      <x:c r="U82" s="66"/>
      <x:c r="V82" s="66"/>
      <x:c r="W82" s="66"/>
      <x:c r="X82" s="66"/>
      <x:c r="Y82" s="66"/>
      <x:c r="Z82" s="66"/>
      <x:c r="AA82" s="66"/>
      <x:c r="AB82" s="66"/>
      <x:c r="AC82" s="66"/>
    </x:row>
    <x:row r="83">
      <x:c r="A83" s="53" t="n">
        <x:v>0.8</x:v>
      </x:c>
      <x:c r="B83" s="66" t="str">
        <x:v>дозвук</x:v>
      </x:c>
      <x:c r="C83" s="53" t="n">
        <x:v>5</x:v>
      </x:c>
      <x:c r="D83" s="42" t="n">
        <x:v>0.297389695609</x:v>
      </x:c>
      <x:c r="E83" s="42" t="n">
        <x:v>0.027540077013</x:v>
      </x:c>
      <x:c r="F83" s="42" t="n">
        <x:v>-0.224748445542</x:v>
      </x:c>
      <x:c r="G83" s="42" t="n">
        <x:f>D83-D82</x:f>
        <x:v>0.05396618648300003</x:v>
      </x:c>
      <x:c r="H83" s="66" t="str">
        <x:v>direct VSPAERO</x:v>
      </x:c>
      <x:c r="I83" s="66" t="str">
        <x:v>direct VSPAERO full corrected closed model; GO incidence from VSP model</x:v>
      </x:c>
      <x:c r="J83" s="42" t="n">
        <x:v>0</x:v>
      </x:c>
      <x:c r="K83" s="66"/>
      <x:c r="L83" s="66"/>
      <x:c r="M83" s="66"/>
      <x:c r="N83" s="66"/>
      <x:c r="O83" s="66"/>
      <x:c r="P83" s="66"/>
      <x:c r="Q83" s="66"/>
      <x:c r="R83" s="66"/>
      <x:c r="S83" s="66"/>
      <x:c r="T83" s="66"/>
      <x:c r="U83" s="66"/>
      <x:c r="V83" s="66"/>
      <x:c r="W83" s="66"/>
      <x:c r="X83" s="66"/>
      <x:c r="Y83" s="66"/>
      <x:c r="Z83" s="66"/>
      <x:c r="AA83" s="66"/>
      <x:c r="AB83" s="66"/>
      <x:c r="AC83" s="66"/>
    </x:row>
    <x:row r="84">
      <x:c r="A84" s="53" t="n">
        <x:v>1.2</x:v>
      </x:c>
      <x:c r="B84" s="66" t="str">
        <x:v>сверхзвук</x:v>
      </x:c>
      <x:c r="C84" s="53" t="n">
        <x:v>0</x:v>
      </x:c>
      <x:c r="D84" s="42" t="n">
        <x:v>0.046417138535</x:v>
      </x:c>
      <x:c r="E84" s="42" t="n">
        <x:v>0.081328407078</x:v>
      </x:c>
      <x:c r="F84" s="42" t="n">
        <x:v>-0.014348362961</x:v>
      </x:c>
      <x:c r="G84" s="42"/>
      <x:c r="H84" s="66" t="str">
        <x:v>direct VSPAERO</x:v>
      </x:c>
      <x:c r="I84" s="66" t="str">
        <x:v>direct VSPAERO full corrected closed model; GO incidence from VSP model</x:v>
      </x:c>
      <x:c r="J84" s="42" t="n">
        <x:v>0</x:v>
      </x:c>
      <x:c r="K84" s="66"/>
      <x:c r="L84" s="66"/>
      <x:c r="M84" s="66"/>
      <x:c r="N84" s="66"/>
      <x:c r="O84" s="66"/>
      <x:c r="P84" s="66"/>
      <x:c r="Q84" s="66"/>
      <x:c r="R84" s="66"/>
      <x:c r="S84" s="66"/>
      <x:c r="T84" s="66"/>
      <x:c r="U84" s="66"/>
      <x:c r="V84" s="66"/>
      <x:c r="W84" s="66"/>
      <x:c r="X84" s="66"/>
      <x:c r="Y84" s="66"/>
      <x:c r="Z84" s="66"/>
      <x:c r="AA84" s="66"/>
      <x:c r="AB84" s="66"/>
      <x:c r="AC84" s="66"/>
    </x:row>
    <x:row r="85">
      <x:c r="A85" s="53" t="n">
        <x:v>1.2</x:v>
      </x:c>
      <x:c r="B85" s="66" t="str">
        <x:v>сверхзвук</x:v>
      </x:c>
      <x:c r="C85" s="53" t="n">
        <x:v>1</x:v>
      </x:c>
      <x:c r="D85" s="42" t="n">
        <x:v>0.114943670291</x:v>
      </x:c>
      <x:c r="E85" s="42" t="n">
        <x:v>0.08274622109</x:v>
      </x:c>
      <x:c r="F85" s="42" t="n">
        <x:v>-0.08326286356</x:v>
      </x:c>
      <x:c r="G85" s="42" t="n">
        <x:f>D85-D84</x:f>
        <x:v>0.068526531756</x:v>
      </x:c>
      <x:c r="H85" s="66" t="str">
        <x:v>direct VSPAERO</x:v>
      </x:c>
      <x:c r="I85" s="66" t="str">
        <x:v>direct VSPAERO full corrected closed model; GO incidence from VSP model</x:v>
      </x:c>
      <x:c r="J85" s="42" t="n">
        <x:v>0</x:v>
      </x:c>
      <x:c r="K85" s="66"/>
      <x:c r="L85" s="66"/>
      <x:c r="M85" s="66"/>
      <x:c r="N85" s="66"/>
      <x:c r="O85" s="66"/>
      <x:c r="P85" s="66"/>
      <x:c r="Q85" s="66"/>
      <x:c r="R85" s="66"/>
      <x:c r="S85" s="66"/>
      <x:c r="T85" s="66"/>
      <x:c r="U85" s="66"/>
      <x:c r="V85" s="66"/>
      <x:c r="W85" s="66"/>
      <x:c r="X85" s="66"/>
      <x:c r="Y85" s="66"/>
      <x:c r="Z85" s="66"/>
      <x:c r="AA85" s="66"/>
      <x:c r="AB85" s="66"/>
      <x:c r="AC85" s="66"/>
    </x:row>
    <x:row r="86">
      <x:c r="A86" s="53" t="n">
        <x:v>1.2</x:v>
      </x:c>
      <x:c r="B86" s="66" t="str">
        <x:v>сверхзвук</x:v>
      </x:c>
      <x:c r="C86" s="53" t="n">
        <x:v>2</x:v>
      </x:c>
      <x:c r="D86" s="42" t="n">
        <x:v>0.183607953871</x:v>
      </x:c>
      <x:c r="E86" s="42" t="n">
        <x:v>0.086284205932</x:v>
      </x:c>
      <x:c r="F86" s="42" t="n">
        <x:v>-0.153147693176</x:v>
      </x:c>
      <x:c r="G86" s="42" t="n">
        <x:f>D86-D85</x:f>
        <x:v>0.06866428358000001</x:v>
      </x:c>
      <x:c r="H86" s="66" t="str">
        <x:v>direct VSPAERO</x:v>
      </x:c>
      <x:c r="I86" s="66" t="str">
        <x:v>direct VSPAERO full corrected closed model; GO incidence from VSP model</x:v>
      </x:c>
      <x:c r="J86" s="42" t="n">
        <x:v>0</x:v>
      </x:c>
      <x:c r="K86" s="66"/>
      <x:c r="L86" s="66"/>
      <x:c r="M86" s="66"/>
      <x:c r="N86" s="66"/>
      <x:c r="O86" s="66"/>
      <x:c r="P86" s="66"/>
      <x:c r="Q86" s="66"/>
      <x:c r="R86" s="66"/>
      <x:c r="S86" s="66"/>
      <x:c r="T86" s="66"/>
      <x:c r="U86" s="66"/>
      <x:c r="V86" s="66"/>
      <x:c r="W86" s="66"/>
      <x:c r="X86" s="66"/>
      <x:c r="Y86" s="66"/>
      <x:c r="Z86" s="66"/>
      <x:c r="AA86" s="66"/>
      <x:c r="AB86" s="66"/>
      <x:c r="AC86" s="66"/>
    </x:row>
    <x:row r="87">
      <x:c r="A87" s="53" t="n">
        <x:v>1.2</x:v>
      </x:c>
      <x:c r="B87" s="66" t="str">
        <x:v>сверхзвук</x:v>
      </x:c>
      <x:c r="C87" s="53" t="n">
        <x:v>3</x:v>
      </x:c>
      <x:c r="D87" s="42" t="n">
        <x:v>0.251433366266</x:v>
      </x:c>
      <x:c r="E87" s="42" t="n">
        <x:v>0.09181863161</x:v>
      </x:c>
      <x:c r="F87" s="42" t="n">
        <x:v>-0.222250966241</x:v>
      </x:c>
      <x:c r="G87" s="42" t="n">
        <x:f>D87-D86</x:f>
        <x:v>0.06782541239499998</x:v>
      </x:c>
      <x:c r="H87" s="66" t="str">
        <x:v>direct VSPAERO</x:v>
      </x:c>
      <x:c r="I87" s="66" t="str">
        <x:v>direct VSPAERO full corrected closed model; GO incidence from VSP model</x:v>
      </x:c>
      <x:c r="J87" s="42" t="n">
        <x:v>0</x:v>
      </x:c>
      <x:c r="K87" s="66"/>
      <x:c r="L87" s="66"/>
      <x:c r="M87" s="66"/>
      <x:c r="N87" s="66"/>
      <x:c r="O87" s="66"/>
      <x:c r="P87" s="66"/>
      <x:c r="Q87" s="66"/>
      <x:c r="R87" s="66"/>
      <x:c r="S87" s="66"/>
      <x:c r="T87" s="66"/>
      <x:c r="U87" s="66"/>
      <x:c r="V87" s="66"/>
      <x:c r="W87" s="66"/>
      <x:c r="X87" s="66"/>
      <x:c r="Y87" s="66"/>
      <x:c r="Z87" s="66"/>
      <x:c r="AA87" s="66"/>
      <x:c r="AB87" s="66"/>
      <x:c r="AC87" s="66"/>
    </x:row>
    <x:row r="88">
      <x:c r="A88" s="53" t="n">
        <x:v>1.2</x:v>
      </x:c>
      <x:c r="B88" s="66" t="str">
        <x:v>сверхзвук</x:v>
      </x:c>
      <x:c r="C88" s="53" t="n">
        <x:v>4</x:v>
      </x:c>
      <x:c r="D88" s="42" t="n">
        <x:v>0.318634825812</x:v>
      </x:c>
      <x:c r="E88" s="42" t="n">
        <x:v>0.099351342781</x:v>
      </x:c>
      <x:c r="F88" s="42" t="n">
        <x:v>-0.290891104493</x:v>
      </x:c>
      <x:c r="G88" s="42" t="n">
        <x:f>D88-D87</x:f>
        <x:v>0.06720145954599999</x:v>
      </x:c>
      <x:c r="H88" s="66" t="str">
        <x:v>direct VSPAERO</x:v>
      </x:c>
      <x:c r="I88" s="66" t="str">
        <x:v>direct VSPAERO full corrected closed model; GO incidence from VSP model</x:v>
      </x:c>
      <x:c r="J88" s="42" t="n">
        <x:v>0</x:v>
      </x:c>
      <x:c r="K88" s="66"/>
      <x:c r="L88" s="66"/>
      <x:c r="M88" s="66"/>
      <x:c r="N88" s="66"/>
      <x:c r="O88" s="66"/>
      <x:c r="P88" s="66"/>
      <x:c r="Q88" s="66"/>
      <x:c r="R88" s="66"/>
      <x:c r="S88" s="66"/>
      <x:c r="T88" s="66"/>
      <x:c r="U88" s="66"/>
      <x:c r="V88" s="66"/>
      <x:c r="W88" s="66"/>
      <x:c r="X88" s="66"/>
      <x:c r="Y88" s="66"/>
      <x:c r="Z88" s="66"/>
      <x:c r="AA88" s="66"/>
      <x:c r="AB88" s="66"/>
      <x:c r="AC88" s="66"/>
    </x:row>
    <x:row r="89">
      <x:c r="A89" s="53" t="n">
        <x:v>1.2</x:v>
      </x:c>
      <x:c r="B89" s="66" t="str">
        <x:v>сверхзвук</x:v>
      </x:c>
      <x:c r="C89" s="53" t="n">
        <x:v>5</x:v>
      </x:c>
      <x:c r="D89" s="42" t="n">
        <x:v>0.384914101681</x:v>
      </x:c>
      <x:c r="E89" s="42" t="n">
        <x:v>0.10885695931</x:v>
      </x:c>
      <x:c r="F89" s="42" t="n">
        <x:v>-0.358765765936</x:v>
      </x:c>
      <x:c r="G89" s="42" t="n">
        <x:f>D89-D88</x:f>
        <x:v>0.06627927586900001</x:v>
      </x:c>
      <x:c r="H89" s="66" t="str">
        <x:v>direct VSPAERO</x:v>
      </x:c>
      <x:c r="I89" s="66" t="str">
        <x:v>direct VSPAERO full corrected closed model; GO incidence from VSP model</x:v>
      </x:c>
      <x:c r="J89" s="42" t="n">
        <x:v>0</x:v>
      </x:c>
      <x:c r="K89" s="66"/>
      <x:c r="L89" s="66"/>
      <x:c r="M89" s="66"/>
      <x:c r="N89" s="66"/>
      <x:c r="O89" s="66"/>
      <x:c r="P89" s="66"/>
      <x:c r="Q89" s="66"/>
      <x:c r="R89" s="66"/>
      <x:c r="S89" s="66"/>
      <x:c r="T89" s="66"/>
      <x:c r="U89" s="66"/>
      <x:c r="V89" s="66"/>
      <x:c r="W89" s="66"/>
      <x:c r="X89" s="66"/>
      <x:c r="Y89" s="66"/>
      <x:c r="Z89" s="66"/>
      <x:c r="AA89" s="66"/>
      <x:c r="AB89" s="66"/>
      <x:c r="AC89" s="66"/>
    </x:row>
    <x:row r="90">
      <x:c r="A90" s="53" t="n">
        <x:v>1.3</x:v>
      </x:c>
      <x:c r="B90" s="66" t="str">
        <x:v>сверхзвук</x:v>
      </x:c>
      <x:c r="C90" s="53" t="n">
        <x:v>0</x:v>
      </x:c>
      <x:c r="D90" s="42" t="n">
        <x:v>0.042570594718</x:v>
      </x:c>
      <x:c r="E90" s="42" t="n">
        <x:v>0.067529799993</x:v>
      </x:c>
      <x:c r="F90" s="42" t="n">
        <x:v>-0.032366445706</x:v>
      </x:c>
      <x:c r="G90" s="42"/>
      <x:c r="H90" s="66" t="str">
        <x:v>direct VSPAERO</x:v>
      </x:c>
      <x:c r="I90" s="66" t="str">
        <x:v>direct VSPAERO full corrected closed model; GO incidence from VSP model</x:v>
      </x:c>
      <x:c r="J90" s="42" t="n">
        <x:v>0</x:v>
      </x:c>
      <x:c r="K90" s="66"/>
      <x:c r="L90" s="66"/>
      <x:c r="M90" s="66"/>
      <x:c r="N90" s="66"/>
      <x:c r="O90" s="66"/>
      <x:c r="P90" s="66"/>
      <x:c r="Q90" s="66"/>
      <x:c r="R90" s="66"/>
      <x:c r="S90" s="66"/>
      <x:c r="T90" s="66"/>
      <x:c r="U90" s="66"/>
      <x:c r="V90" s="66"/>
      <x:c r="W90" s="66"/>
      <x:c r="X90" s="66"/>
      <x:c r="Y90" s="66"/>
      <x:c r="Z90" s="66"/>
      <x:c r="AA90" s="66"/>
      <x:c r="AB90" s="66"/>
      <x:c r="AC90" s="66"/>
    </x:row>
    <x:row r="91">
      <x:c r="A91" s="53" t="n">
        <x:v>1.3</x:v>
      </x:c>
      <x:c r="B91" s="66" t="str">
        <x:v>сверхзвук</x:v>
      </x:c>
      <x:c r="C91" s="53" t="n">
        <x:v>1</x:v>
      </x:c>
      <x:c r="D91" s="42" t="n">
        <x:v>0.107074219844</x:v>
      </x:c>
      <x:c r="E91" s="42" t="n">
        <x:v>0.06893800438</x:v>
      </x:c>
      <x:c r="F91" s="42" t="n">
        <x:v>-0.096079985891</x:v>
      </x:c>
      <x:c r="G91" s="42" t="n">
        <x:f>D91-D90</x:f>
        <x:v>0.064503625126</x:v>
      </x:c>
      <x:c r="H91" s="66" t="str">
        <x:v>direct VSPAERO</x:v>
      </x:c>
      <x:c r="I91" s="66" t="str">
        <x:v>direct VSPAERO full corrected closed model; GO incidence from VSP model</x:v>
      </x:c>
      <x:c r="J91" s="42" t="n">
        <x:v>0</x:v>
      </x:c>
      <x:c r="K91" s="66"/>
      <x:c r="L91" s="66"/>
      <x:c r="M91" s="66"/>
      <x:c r="N91" s="66"/>
      <x:c r="O91" s="66"/>
      <x:c r="P91" s="66"/>
      <x:c r="Q91" s="66"/>
      <x:c r="R91" s="66"/>
      <x:c r="S91" s="66"/>
      <x:c r="T91" s="66"/>
      <x:c r="U91" s="66"/>
      <x:c r="V91" s="66"/>
      <x:c r="W91" s="66"/>
      <x:c r="X91" s="66"/>
      <x:c r="Y91" s="66"/>
      <x:c r="Z91" s="66"/>
      <x:c r="AA91" s="66"/>
      <x:c r="AB91" s="66"/>
      <x:c r="AC91" s="66"/>
    </x:row>
    <x:row r="92">
      <x:c r="A92" s="53" t="n">
        <x:v>1.3</x:v>
      </x:c>
      <x:c r="B92" s="66" t="str">
        <x:v>сверхзвук</x:v>
      </x:c>
      <x:c r="C92" s="53" t="n">
        <x:v>2</x:v>
      </x:c>
      <x:c r="D92" s="42" t="n">
        <x:v>0.171683083807</x:v>
      </x:c>
      <x:c r="E92" s="42" t="n">
        <x:v>0.072286791395</x:v>
      </x:c>
      <x:c r="F92" s="42" t="n">
        <x:v>-0.160786032173</x:v>
      </x:c>
      <x:c r="G92" s="42" t="n">
        <x:f>D92-D91</x:f>
        <x:v>0.06460886396300002</x:v>
      </x:c>
      <x:c r="H92" s="66" t="str">
        <x:v>direct VSPAERO</x:v>
      </x:c>
      <x:c r="I92" s="66" t="str">
        <x:v>direct VSPAERO full corrected closed model; GO incidence from VSP model</x:v>
      </x:c>
      <x:c r="J92" s="42" t="n">
        <x:v>0</x:v>
      </x:c>
      <x:c r="K92" s="66"/>
      <x:c r="L92" s="66"/>
      <x:c r="M92" s="66"/>
      <x:c r="N92" s="66"/>
      <x:c r="O92" s="66"/>
      <x:c r="P92" s="66"/>
      <x:c r="Q92" s="66"/>
      <x:c r="R92" s="66"/>
      <x:c r="S92" s="66"/>
      <x:c r="T92" s="66"/>
      <x:c r="U92" s="66"/>
      <x:c r="V92" s="66"/>
      <x:c r="W92" s="66"/>
      <x:c r="X92" s="66"/>
      <x:c r="Y92" s="66"/>
      <x:c r="Z92" s="66"/>
      <x:c r="AA92" s="66"/>
      <x:c r="AB92" s="66"/>
      <x:c r="AC92" s="66"/>
    </x:row>
    <x:row r="93">
      <x:c r="A93" s="53" t="n">
        <x:v>1.3</x:v>
      </x:c>
      <x:c r="B93" s="66" t="str">
        <x:v>сверхзвук</x:v>
      </x:c>
      <x:c r="C93" s="53" t="n">
        <x:v>3</x:v>
      </x:c>
      <x:c r="D93" s="42" t="n">
        <x:v>0.23586054706</x:v>
      </x:c>
      <x:c r="E93" s="42" t="n">
        <x:v>0.077639525949</x:v>
      </x:c>
      <x:c r="F93" s="42" t="n">
        <x:v>-0.225464677645</x:v>
      </x:c>
      <x:c r="G93" s="42" t="n">
        <x:f>D93-D92</x:f>
        <x:v>0.064177463253</x:v>
      </x:c>
      <x:c r="H93" s="66" t="str">
        <x:v>direct VSPAERO</x:v>
      </x:c>
      <x:c r="I93" s="66" t="str">
        <x:v>direct VSPAERO full corrected closed model; GO incidence from VSP model</x:v>
      </x:c>
      <x:c r="J93" s="42" t="n">
        <x:v>0</x:v>
      </x:c>
      <x:c r="K93" s="66"/>
      <x:c r="L93" s="66"/>
      <x:c r="M93" s="66"/>
      <x:c r="N93" s="66"/>
      <x:c r="O93" s="66"/>
      <x:c r="P93" s="66"/>
      <x:c r="Q93" s="66"/>
      <x:c r="R93" s="66"/>
      <x:c r="S93" s="66"/>
      <x:c r="T93" s="66"/>
      <x:c r="U93" s="66"/>
      <x:c r="V93" s="66"/>
      <x:c r="W93" s="66"/>
      <x:c r="X93" s="66"/>
      <x:c r="Y93" s="66"/>
      <x:c r="Z93" s="66"/>
      <x:c r="AA93" s="66"/>
      <x:c r="AB93" s="66"/>
      <x:c r="AC93" s="66"/>
    </x:row>
    <x:row r="94">
      <x:c r="A94" s="53" t="n">
        <x:v>1.3</x:v>
      </x:c>
      <x:c r="B94" s="66" t="str">
        <x:v>сверхзвук</x:v>
      </x:c>
      <x:c r="C94" s="53" t="n">
        <x:v>4</x:v>
      </x:c>
      <x:c r="D94" s="42" t="n">
        <x:v>0.299590600165</x:v>
      </x:c>
      <x:c r="E94" s="42" t="n">
        <x:v>0.084856260708</x:v>
      </x:c>
      <x:c r="F94" s="42" t="n">
        <x:v>-0.289945726308</x:v>
      </x:c>
      <x:c r="G94" s="42" t="n">
        <x:f>D94-D93</x:f>
        <x:v>0.06373005310499999</x:v>
      </x:c>
      <x:c r="H94" s="66" t="str">
        <x:v>direct VSPAERO</x:v>
      </x:c>
      <x:c r="I94" s="66" t="str">
        <x:v>direct VSPAERO full corrected closed model; GO incidence from VSP model</x:v>
      </x:c>
      <x:c r="J94" s="42" t="n">
        <x:v>0</x:v>
      </x:c>
      <x:c r="K94" s="66"/>
      <x:c r="L94" s="66"/>
      <x:c r="M94" s="66"/>
      <x:c r="N94" s="66"/>
      <x:c r="O94" s="66"/>
      <x:c r="P94" s="66"/>
      <x:c r="Q94" s="66"/>
      <x:c r="R94" s="66"/>
      <x:c r="S94" s="66"/>
      <x:c r="T94" s="66"/>
      <x:c r="U94" s="66"/>
      <x:c r="V94" s="66"/>
      <x:c r="W94" s="66"/>
      <x:c r="X94" s="66"/>
      <x:c r="Y94" s="66"/>
      <x:c r="Z94" s="66"/>
      <x:c r="AA94" s="66"/>
      <x:c r="AB94" s="66"/>
      <x:c r="AC94" s="66"/>
    </x:row>
    <x:row r="95">
      <x:c r="A95" s="53" t="n">
        <x:v>1.3</x:v>
      </x:c>
      <x:c r="B95" s="66" t="str">
        <x:v>сверхзвук</x:v>
      </x:c>
      <x:c r="C95" s="53" t="n">
        <x:v>5</x:v>
      </x:c>
      <x:c r="D95" s="42" t="n">
        <x:v>0.362392544422</x:v>
      </x:c>
      <x:c r="E95" s="42" t="n">
        <x:v>0.094013639586</x:v>
      </x:c>
      <x:c r="F95" s="42" t="n">
        <x:v>-0.353610726273</x:v>
      </x:c>
      <x:c r="G95" s="42" t="n">
        <x:f>D95-D94</x:f>
        <x:v>0.06280194425699998</x:v>
      </x:c>
      <x:c r="H95" s="66" t="str">
        <x:v>direct VSPAERO</x:v>
      </x:c>
      <x:c r="I95" s="66" t="str">
        <x:v>direct VSPAERO full corrected closed model; GO incidence from VSP model</x:v>
      </x:c>
      <x:c r="J95" s="42" t="n">
        <x:v>0</x:v>
      </x:c>
      <x:c r="K95" s="66"/>
      <x:c r="L95" s="66"/>
      <x:c r="M95" s="66"/>
      <x:c r="N95" s="66"/>
      <x:c r="O95" s="66"/>
      <x:c r="P95" s="66"/>
      <x:c r="Q95" s="66"/>
      <x:c r="R95" s="66"/>
      <x:c r="S95" s="66"/>
      <x:c r="T95" s="66"/>
      <x:c r="U95" s="66"/>
      <x:c r="V95" s="66"/>
      <x:c r="W95" s="66"/>
      <x:c r="X95" s="66"/>
      <x:c r="Y95" s="66"/>
      <x:c r="Z95" s="66"/>
      <x:c r="AA95" s="66"/>
      <x:c r="AB95" s="66"/>
      <x:c r="AC95" s="66"/>
    </x:row>
    <x:row r="96">
      <x:c r="A96" s="56" t="n">
        <x:v>1.4</x:v>
      </x:c>
      <x:c r="B96" s="44" t="str">
        <x:v>сверхзвук</x:v>
      </x:c>
      <x:c r="C96" s="56" t="n">
        <x:v>0</x:v>
      </x:c>
      <x:c r="D96" s="57" t="n">
        <x:v>0.042940847026333336</x:v>
      </x:c>
      <x:c r="E96" s="57" t="n">
        <x:v>0.06161177355200001</x:v>
      </x:c>
      <x:c r="F96" s="57" t="n">
        <x:v>-0.035644774047</x:v>
      </x:c>
      <x:c r="G96" s="57"/>
      <x:c r="H96" s="44" t="str">
        <x:v>interpolation M1.3-M1.6</x:v>
      </x:c>
      <x:c r="I96" s="44" t="str">
        <x:v>linear interpolation of stable full-model VSPAERO solutions M=1.3/1.6; GO incidence from VSP model</x:v>
      </x:c>
      <x:c r="J96" s="57" t="n">
        <x:v>0.019302173271499995</x:v>
      </x:c>
      <x:c r="K96" s="66"/>
      <x:c r="L96" s="66"/>
      <x:c r="M96" s="66"/>
      <x:c r="N96" s="66"/>
      <x:c r="O96" s="66"/>
      <x:c r="P96" s="66"/>
      <x:c r="Q96" s="66"/>
      <x:c r="R96" s="66"/>
      <x:c r="S96" s="66"/>
      <x:c r="T96" s="66"/>
      <x:c r="U96" s="66"/>
      <x:c r="V96" s="66"/>
      <x:c r="W96" s="66"/>
      <x:c r="X96" s="66"/>
      <x:c r="Y96" s="66"/>
      <x:c r="Z96" s="66"/>
      <x:c r="AA96" s="66"/>
      <x:c r="AB96" s="66"/>
      <x:c r="AC96" s="66"/>
    </x:row>
    <x:row r="97">
      <x:c r="A97" s="56" t="n">
        <x:v>1.4</x:v>
      </x:c>
      <x:c r="B97" s="44" t="str">
        <x:v>сверхзвук</x:v>
      </x:c>
      <x:c r="C97" s="56" t="n">
        <x:v>1</x:v>
      </x:c>
      <x:c r="D97" s="57" t="n">
        <x:v>0.105060428093</x:v>
      </x:c>
      <x:c r="E97" s="57" t="n">
        <x:v>0.06308263034333335</x:v>
      </x:c>
      <x:c r="F97" s="57" t="n">
        <x:v>-0.09978205965766666</x:v>
      </x:c>
      <x:c r="G97" s="57" t="n">
        <x:f>D97-D96</x:f>
        <x:v>0.06211958106666666</x:v>
      </x:c>
      <x:c r="H97" s="44" t="str">
        <x:v>interpolation M1.3-M1.6</x:v>
      </x:c>
      <x:c r="I97" s="44" t="str">
        <x:v>linear interpolation of stable full-model VSPAERO solutions M=1.3/1.6; GO incidence from VSP model</x:v>
      </x:c>
      <x:c r="J97" s="57" t="n">
        <x:v>0.019302173271499995</x:v>
      </x:c>
      <x:c r="K97" s="66"/>
      <x:c r="L97" s="66"/>
      <x:c r="M97" s="66"/>
      <x:c r="N97" s="66"/>
      <x:c r="O97" s="66"/>
      <x:c r="P97" s="66"/>
      <x:c r="Q97" s="66"/>
      <x:c r="R97" s="66"/>
      <x:c r="S97" s="66"/>
      <x:c r="T97" s="66"/>
      <x:c r="U97" s="66"/>
      <x:c r="V97" s="66"/>
      <x:c r="W97" s="66"/>
      <x:c r="X97" s="66"/>
      <x:c r="Y97" s="66"/>
      <x:c r="Z97" s="66"/>
      <x:c r="AA97" s="66"/>
      <x:c r="AB97" s="66"/>
      <x:c r="AC97" s="66"/>
    </x:row>
    <x:row r="98">
      <x:c r="A98" s="56" t="n">
        <x:v>1.4</x:v>
      </x:c>
      <x:c r="B98" s="44" t="str">
        <x:v>сверхзвук</x:v>
      </x:c>
      <x:c r="C98" s="56" t="n">
        <x:v>2</x:v>
      </x:c>
      <x:c r="D98" s="57" t="n">
        <x:v>0.1670754767006667</x:v>
      </x:c>
      <x:c r="E98" s="57" t="n">
        <x:v>0.06644312856066667</x:v>
      </x:c>
      <x:c r="F98" s="57" t="n">
        <x:v>-0.16438658087566665</x:v>
      </x:c>
      <x:c r="G98" s="57" t="n">
        <x:f>D98-D97</x:f>
        <x:v>0.0620150486076667</x:v>
      </x:c>
      <x:c r="H98" s="44" t="str">
        <x:v>interpolation M1.3-M1.6</x:v>
      </x:c>
      <x:c r="I98" s="44" t="str">
        <x:v>linear interpolation of stable full-model VSPAERO solutions M=1.3/1.6; GO incidence from VSP model</x:v>
      </x:c>
      <x:c r="J98" s="57" t="n">
        <x:v>0.019302173271499995</x:v>
      </x:c>
      <x:c r="K98" s="66"/>
      <x:c r="L98" s="66"/>
      <x:c r="M98" s="66"/>
      <x:c r="N98" s="66"/>
      <x:c r="O98" s="66"/>
      <x:c r="P98" s="66"/>
      <x:c r="Q98" s="66"/>
      <x:c r="R98" s="66"/>
      <x:c r="S98" s="66"/>
      <x:c r="T98" s="66"/>
      <x:c r="U98" s="66"/>
      <x:c r="V98" s="66"/>
      <x:c r="W98" s="66"/>
      <x:c r="X98" s="66"/>
      <x:c r="Y98" s="66"/>
      <x:c r="Z98" s="66"/>
      <x:c r="AA98" s="66"/>
      <x:c r="AB98" s="66"/>
      <x:c r="AC98" s="66"/>
    </x:row>
    <x:row r="99">
      <x:c r="A99" s="56" t="n">
        <x:v>1.4</x:v>
      </x:c>
      <x:c r="B99" s="44" t="str">
        <x:v>сверхзвук</x:v>
      </x:c>
      <x:c r="C99" s="56" t="n">
        <x:v>3</x:v>
      </x:c>
      <x:c r="D99" s="57" t="n">
        <x:v>0.22857835726900003</x:v>
      </x:c>
      <x:c r="E99" s="57" t="n">
        <x:v>0.07172645901066668</x:v>
      </x:c>
      <x:c r="F99" s="57" t="n">
        <x:v>-0.22877291662566665</x:v>
      </x:c>
      <x:c r="G99" s="57" t="n">
        <x:f>D99-D98</x:f>
        <x:v>0.061502880568333335</x:v>
      </x:c>
      <x:c r="H99" s="44" t="str">
        <x:v>interpolation M1.3-M1.6</x:v>
      </x:c>
      <x:c r="I99" s="44" t="str">
        <x:v>linear interpolation of stable full-model VSPAERO solutions M=1.3/1.6; GO incidence from VSP model</x:v>
      </x:c>
      <x:c r="J99" s="57" t="n">
        <x:v>0.019302173271499995</x:v>
      </x:c>
      <x:c r="K99" s="66"/>
      <x:c r="L99" s="66"/>
      <x:c r="M99" s="66"/>
      <x:c r="N99" s="66"/>
      <x:c r="O99" s="66"/>
      <x:c r="P99" s="66"/>
      <x:c r="Q99" s="66"/>
      <x:c r="R99" s="66"/>
      <x:c r="S99" s="66"/>
      <x:c r="T99" s="66"/>
      <x:c r="U99" s="66"/>
      <x:c r="V99" s="66"/>
      <x:c r="W99" s="66"/>
      <x:c r="X99" s="66"/>
      <x:c r="Y99" s="66"/>
      <x:c r="Z99" s="66"/>
      <x:c r="AA99" s="66"/>
      <x:c r="AB99" s="66"/>
      <x:c r="AC99" s="66"/>
    </x:row>
    <x:row r="100">
      <x:c r="A100" s="56" t="n">
        <x:v>1.4</x:v>
      </x:c>
      <x:c r="B100" s="44" t="str">
        <x:v>сверхзвук</x:v>
      </x:c>
      <x:c r="C100" s="56" t="n">
        <x:v>4</x:v>
      </x:c>
      <x:c r="D100" s="57" t="n">
        <x:v>0.289527720383</x:v>
      </x:c>
      <x:c r="E100" s="57" t="n">
        <x:v>0.07883014156333334</x:v>
      </x:c>
      <x:c r="F100" s="57" t="n">
        <x:v>-0.2928111241083333</x:v>
      </x:c>
      <x:c r="G100" s="57" t="n">
        <x:f>D100-D99</x:f>
        <x:v>0.06094936311399998</x:v>
      </x:c>
      <x:c r="H100" s="44" t="str">
        <x:v>interpolation M1.3-M1.6</x:v>
      </x:c>
      <x:c r="I100" s="44" t="str">
        <x:v>linear interpolation of stable full-model VSPAERO solutions M=1.3/1.6; GO incidence from VSP model</x:v>
      </x:c>
      <x:c r="J100" s="57" t="n">
        <x:v>0.019302173271499995</x:v>
      </x:c>
      <x:c r="K100" s="66"/>
      <x:c r="L100" s="66"/>
      <x:c r="M100" s="66"/>
      <x:c r="N100" s="66"/>
      <x:c r="O100" s="66"/>
      <x:c r="P100" s="66"/>
      <x:c r="Q100" s="66"/>
      <x:c r="R100" s="66"/>
      <x:c r="S100" s="66"/>
      <x:c r="T100" s="66"/>
      <x:c r="U100" s="66"/>
      <x:c r="V100" s="66"/>
      <x:c r="W100" s="66"/>
      <x:c r="X100" s="66"/>
      <x:c r="Y100" s="66"/>
      <x:c r="Z100" s="66"/>
      <x:c r="AA100" s="66"/>
      <x:c r="AB100" s="66"/>
      <x:c r="AC100" s="66"/>
    </x:row>
    <x:row r="101">
      <x:c r="A101" s="56" t="n">
        <x:v>1.4</x:v>
      </x:c>
      <x:c r="B101" s="44" t="str">
        <x:v>сверхзвук</x:v>
      </x:c>
      <x:c r="C101" s="56" t="n">
        <x:v>5</x:v>
      </x:c>
      <x:c r="D101" s="57" t="n">
        <x:v>0.34952442890766666</x:v>
      </x:c>
      <x:c r="E101" s="57" t="n">
        <x:v>0.08779247762666667</x:v>
      </x:c>
      <x:c r="F101" s="57" t="n">
        <x:v>-0.355961801696</x:v>
      </x:c>
      <x:c r="G101" s="57" t="n">
        <x:f>D101-D100</x:f>
        <x:v>0.05999670852466665</x:v>
      </x:c>
      <x:c r="H101" s="44" t="str">
        <x:v>interpolation M1.3-M1.6</x:v>
      </x:c>
      <x:c r="I101" s="44" t="str">
        <x:v>linear interpolation of stable full-model VSPAERO solutions M=1.3/1.6; GO incidence from VSP model</x:v>
      </x:c>
      <x:c r="J101" s="57" t="n">
        <x:v>0.019302173271499995</x:v>
      </x:c>
      <x:c r="K101" s="66"/>
      <x:c r="L101" s="66"/>
      <x:c r="M101" s="66"/>
      <x:c r="N101" s="66"/>
      <x:c r="O101" s="66"/>
      <x:c r="P101" s="66"/>
      <x:c r="Q101" s="66"/>
      <x:c r="R101" s="66"/>
      <x:c r="S101" s="66"/>
      <x:c r="T101" s="66"/>
      <x:c r="U101" s="66"/>
      <x:c r="V101" s="66"/>
      <x:c r="W101" s="66"/>
      <x:c r="X101" s="66"/>
      <x:c r="Y101" s="66"/>
      <x:c r="Z101" s="66"/>
      <x:c r="AA101" s="66"/>
      <x:c r="AB101" s="66"/>
      <x:c r="AC101" s="66"/>
    </x:row>
    <x:row r="102">
      <x:c r="A102" s="56" t="n">
        <x:v>1.5</x:v>
      </x:c>
      <x:c r="B102" s="44" t="str">
        <x:v>сверхзвук</x:v>
      </x:c>
      <x:c r="C102" s="56" t="n">
        <x:v>0</x:v>
      </x:c>
      <x:c r="D102" s="57" t="n">
        <x:v>0.04331109933466667</x:v>
      </x:c>
      <x:c r="E102" s="57" t="n">
        <x:v>0.05569374711100001</x:v>
      </x:c>
      <x:c r="F102" s="57" t="n">
        <x:v>-0.038923102387999994</x:v>
      </x:c>
      <x:c r="G102" s="57"/>
      <x:c r="H102" s="44" t="str">
        <x:v>interpolation M1.3-M1.6</x:v>
      </x:c>
      <x:c r="I102" s="44" t="str">
        <x:v>linear interpolation of stable full-model VSPAERO solutions M=1.3/1.6; GO incidence from VSP model</x:v>
      </x:c>
      <x:c r="J102" s="57" t="n">
        <x:v>0.019302173271499995</x:v>
      </x:c>
      <x:c r="K102" s="66"/>
      <x:c r="L102" s="66"/>
      <x:c r="M102" s="66"/>
      <x:c r="N102" s="66"/>
      <x:c r="O102" s="66"/>
      <x:c r="P102" s="66"/>
      <x:c r="Q102" s="66"/>
      <x:c r="R102" s="66"/>
      <x:c r="S102" s="66"/>
      <x:c r="T102" s="66"/>
      <x:c r="U102" s="66"/>
      <x:c r="V102" s="66"/>
      <x:c r="W102" s="66"/>
      <x:c r="X102" s="66"/>
      <x:c r="Y102" s="66"/>
      <x:c r="Z102" s="66"/>
      <x:c r="AA102" s="66"/>
      <x:c r="AB102" s="66"/>
      <x:c r="AC102" s="66"/>
    </x:row>
    <x:row r="103">
      <x:c r="A103" s="56" t="n">
        <x:v>1.5</x:v>
      </x:c>
      <x:c r="B103" s="44" t="str">
        <x:v>сверхзвук</x:v>
      </x:c>
      <x:c r="C103" s="56" t="n">
        <x:v>1</x:v>
      </x:c>
      <x:c r="D103" s="57" t="n">
        <x:v>0.103046636342</x:v>
      </x:c>
      <x:c r="E103" s="57" t="n">
        <x:v>0.057227256306666675</x:v>
      </x:c>
      <x:c r="F103" s="57" t="n">
        <x:v>-0.10348413342433332</x:v>
      </x:c>
      <x:c r="G103" s="57" t="n">
        <x:f>D103-D102</x:f>
        <x:v>0.05973553700733333</x:v>
      </x:c>
      <x:c r="H103" s="44" t="str">
        <x:v>interpolation M1.3-M1.6</x:v>
      </x:c>
      <x:c r="I103" s="44" t="str">
        <x:v>linear interpolation of stable full-model VSPAERO solutions M=1.3/1.6; GO incidence from VSP model</x:v>
      </x:c>
      <x:c r="J103" s="57" t="n">
        <x:v>0.019302173271499995</x:v>
      </x:c>
      <x:c r="K103" s="66"/>
      <x:c r="L103" s="66"/>
      <x:c r="M103" s="66"/>
      <x:c r="N103" s="66"/>
      <x:c r="O103" s="66"/>
      <x:c r="P103" s="66"/>
      <x:c r="Q103" s="66"/>
      <x:c r="R103" s="66"/>
      <x:c r="S103" s="66"/>
      <x:c r="T103" s="66"/>
      <x:c r="U103" s="66"/>
      <x:c r="V103" s="66"/>
      <x:c r="W103" s="66"/>
      <x:c r="X103" s="66"/>
      <x:c r="Y103" s="66"/>
      <x:c r="Z103" s="66"/>
      <x:c r="AA103" s="66"/>
      <x:c r="AB103" s="66"/>
      <x:c r="AC103" s="66"/>
    </x:row>
    <x:row r="104">
      <x:c r="A104" s="56" t="n">
        <x:v>1.5</x:v>
      </x:c>
      <x:c r="B104" s="44" t="str">
        <x:v>сверхзвук</x:v>
      </x:c>
      <x:c r="C104" s="56" t="n">
        <x:v>2</x:v>
      </x:c>
      <x:c r="D104" s="57" t="n">
        <x:v>0.16246786959433335</x:v>
      </x:c>
      <x:c r="E104" s="57" t="n">
        <x:v>0.06059946572633334</x:v>
      </x:c>
      <x:c r="F104" s="57" t="n">
        <x:v>-0.16798712957833334</x:v>
      </x:c>
      <x:c r="G104" s="57" t="n">
        <x:f>D104-D103</x:f>
        <x:v>0.05942123325233335</x:v>
      </x:c>
      <x:c r="H104" s="44" t="str">
        <x:v>interpolation M1.3-M1.6</x:v>
      </x:c>
      <x:c r="I104" s="44" t="str">
        <x:v>linear interpolation of stable full-model VSPAERO solutions M=1.3/1.6; GO incidence from VSP model</x:v>
      </x:c>
      <x:c r="J104" s="57" t="n">
        <x:v>0.019302173271499995</x:v>
      </x:c>
      <x:c r="K104" s="66"/>
      <x:c r="L104" s="66"/>
      <x:c r="M104" s="66"/>
      <x:c r="N104" s="66"/>
      <x:c r="O104" s="66"/>
      <x:c r="P104" s="66"/>
      <x:c r="Q104" s="66"/>
      <x:c r="R104" s="66"/>
      <x:c r="S104" s="66"/>
      <x:c r="T104" s="66"/>
      <x:c r="U104" s="66"/>
      <x:c r="V104" s="66"/>
      <x:c r="W104" s="66"/>
      <x:c r="X104" s="66"/>
      <x:c r="Y104" s="66"/>
      <x:c r="Z104" s="66"/>
      <x:c r="AA104" s="66"/>
      <x:c r="AB104" s="66"/>
      <x:c r="AC104" s="66"/>
    </x:row>
    <x:row r="105">
      <x:c r="A105" s="56" t="n">
        <x:v>1.5</x:v>
      </x:c>
      <x:c r="B105" s="44" t="str">
        <x:v>сверхзвук</x:v>
      </x:c>
      <x:c r="C105" s="56" t="n">
        <x:v>3</x:v>
      </x:c>
      <x:c r="D105" s="57" t="n">
        <x:v>0.22129616747800002</x:v>
      </x:c>
      <x:c r="E105" s="57" t="n">
        <x:v>0.06581339207233335</x:v>
      </x:c>
      <x:c r="F105" s="57" t="n">
        <x:v>-0.23208115560633333</x:v>
      </x:c>
      <x:c r="G105" s="57" t="n">
        <x:f>D105-D104</x:f>
        <x:v>0.05882829788366667</x:v>
      </x:c>
      <x:c r="H105" s="44" t="str">
        <x:v>interpolation M1.3-M1.6</x:v>
      </x:c>
      <x:c r="I105" s="44" t="str">
        <x:v>linear interpolation of stable full-model VSPAERO solutions M=1.3/1.6; GO incidence from VSP model</x:v>
      </x:c>
      <x:c r="J105" s="57" t="n">
        <x:v>0.019302173271499995</x:v>
      </x:c>
      <x:c r="K105" s="66"/>
      <x:c r="L105" s="66"/>
      <x:c r="M105" s="66"/>
      <x:c r="N105" s="66"/>
      <x:c r="O105" s="66"/>
      <x:c r="P105" s="66"/>
      <x:c r="Q105" s="66"/>
      <x:c r="R105" s="66"/>
      <x:c r="S105" s="66"/>
      <x:c r="T105" s="66"/>
      <x:c r="U105" s="66"/>
      <x:c r="V105" s="66"/>
      <x:c r="W105" s="66"/>
      <x:c r="X105" s="66"/>
      <x:c r="Y105" s="66"/>
      <x:c r="Z105" s="66"/>
      <x:c r="AA105" s="66"/>
      <x:c r="AB105" s="66"/>
      <x:c r="AC105" s="66"/>
    </x:row>
    <x:row r="106">
      <x:c r="A106" s="56" t="n">
        <x:v>1.5</x:v>
      </x:c>
      <x:c r="B106" s="44" t="str">
        <x:v>сверхзвук</x:v>
      </x:c>
      <x:c r="C106" s="56" t="n">
        <x:v>4</x:v>
      </x:c>
      <x:c r="D106" s="57" t="n">
        <x:v>0.27946484060099996</x:v>
      </x:c>
      <x:c r="E106" s="57" t="n">
        <x:v>0.07280402241866667</x:v>
      </x:c>
      <x:c r="F106" s="57" t="n">
        <x:v>-0.29567652190866667</x:v>
      </x:c>
      <x:c r="G106" s="57" t="n">
        <x:f>D106-D105</x:f>
        <x:v>0.05816867312299995</x:v>
      </x:c>
      <x:c r="H106" s="44" t="str">
        <x:v>interpolation M1.3-M1.6</x:v>
      </x:c>
      <x:c r="I106" s="44" t="str">
        <x:v>linear interpolation of stable full-model VSPAERO solutions M=1.3/1.6; GO incidence from VSP model</x:v>
      </x:c>
      <x:c r="J106" s="57" t="n">
        <x:v>0.019302173271499995</x:v>
      </x:c>
      <x:c r="K106" s="66"/>
      <x:c r="L106" s="66"/>
      <x:c r="M106" s="66"/>
      <x:c r="N106" s="66"/>
      <x:c r="O106" s="66"/>
      <x:c r="P106" s="66"/>
      <x:c r="Q106" s="66"/>
      <x:c r="R106" s="66"/>
      <x:c r="S106" s="66"/>
      <x:c r="T106" s="66"/>
      <x:c r="U106" s="66"/>
      <x:c r="V106" s="66"/>
      <x:c r="W106" s="66"/>
      <x:c r="X106" s="66"/>
      <x:c r="Y106" s="66"/>
      <x:c r="Z106" s="66"/>
      <x:c r="AA106" s="66"/>
      <x:c r="AB106" s="66"/>
      <x:c r="AC106" s="66"/>
    </x:row>
    <x:row r="107">
      <x:c r="A107" s="56" t="n">
        <x:v>1.5</x:v>
      </x:c>
      <x:c r="B107" s="44" t="str">
        <x:v>сверхзвук</x:v>
      </x:c>
      <x:c r="C107" s="56" t="n">
        <x:v>5</x:v>
      </x:c>
      <x:c r="D107" s="57" t="n">
        <x:v>0.33665631339333335</x:v>
      </x:c>
      <x:c r="E107" s="57" t="n">
        <x:v>0.08157131566733333</x:v>
      </x:c>
      <x:c r="F107" s="57" t="n">
        <x:v>-0.358312877119</x:v>
      </x:c>
      <x:c r="G107" s="57" t="n">
        <x:f>D107-D106</x:f>
        <x:v>0.05719147279233339</x:v>
      </x:c>
      <x:c r="H107" s="44" t="str">
        <x:v>interpolation M1.3-M1.6</x:v>
      </x:c>
      <x:c r="I107" s="44" t="str">
        <x:v>linear interpolation of stable full-model VSPAERO solutions M=1.3/1.6; GO incidence from VSP model</x:v>
      </x:c>
      <x:c r="J107" s="57" t="n">
        <x:v>0.019302173271499995</x:v>
      </x:c>
      <x:c r="K107" s="66"/>
      <x:c r="L107" s="66"/>
      <x:c r="M107" s="66"/>
      <x:c r="N107" s="66"/>
      <x:c r="O107" s="66"/>
      <x:c r="P107" s="66"/>
      <x:c r="Q107" s="66"/>
      <x:c r="R107" s="66"/>
      <x:c r="S107" s="66"/>
      <x:c r="T107" s="66"/>
      <x:c r="U107" s="66"/>
      <x:c r="V107" s="66"/>
      <x:c r="W107" s="66"/>
      <x:c r="X107" s="66"/>
      <x:c r="Y107" s="66"/>
      <x:c r="Z107" s="66"/>
      <x:c r="AA107" s="66"/>
      <x:c r="AB107" s="66"/>
      <x:c r="AC107" s="66"/>
    </x:row>
    <x:row r="108">
      <x:c r="A108" s="53" t="n">
        <x:v>1.6</x:v>
      </x:c>
      <x:c r="B108" s="66" t="str">
        <x:v>сверхзвук</x:v>
      </x:c>
      <x:c r="C108" s="53" t="n">
        <x:v>0</x:v>
      </x:c>
      <x:c r="D108" s="42" t="n">
        <x:v>0.043681351643</x:v>
      </x:c>
      <x:c r="E108" s="42" t="n">
        <x:v>0.04977572067</x:v>
      </x:c>
      <x:c r="F108" s="42" t="n">
        <x:v>-0.042201430729</x:v>
      </x:c>
      <x:c r="G108" s="42"/>
      <x:c r="H108" s="66" t="str">
        <x:v>direct VSPAERO</x:v>
      </x:c>
      <x:c r="I108" s="66" t="str">
        <x:v>direct VSPAERO full corrected closed model; GO incidence from VSP model</x:v>
      </x:c>
      <x:c r="J108" s="42" t="n">
        <x:v>0</x:v>
      </x:c>
      <x:c r="K108" s="66"/>
      <x:c r="L108" s="66"/>
      <x:c r="M108" s="66"/>
      <x:c r="N108" s="66"/>
      <x:c r="O108" s="66"/>
      <x:c r="P108" s="66"/>
      <x:c r="Q108" s="66"/>
      <x:c r="R108" s="66"/>
      <x:c r="S108" s="66"/>
      <x:c r="T108" s="66"/>
      <x:c r="U108" s="66"/>
      <x:c r="V108" s="66"/>
      <x:c r="W108" s="66"/>
      <x:c r="X108" s="66"/>
      <x:c r="Y108" s="66"/>
      <x:c r="Z108" s="66"/>
      <x:c r="AA108" s="66"/>
      <x:c r="AB108" s="66"/>
      <x:c r="AC108" s="66"/>
    </x:row>
    <x:row r="109">
      <x:c r="A109" s="53" t="n">
        <x:v>1.6</x:v>
      </x:c>
      <x:c r="B109" s="66" t="str">
        <x:v>сверхзвук</x:v>
      </x:c>
      <x:c r="C109" s="53" t="n">
        <x:v>1</x:v>
      </x:c>
      <x:c r="D109" s="42" t="n">
        <x:v>0.101032844591</x:v>
      </x:c>
      <x:c r="E109" s="42" t="n">
        <x:v>0.05137188227</x:v>
      </x:c>
      <x:c r="F109" s="42" t="n">
        <x:v>-0.107186207191</x:v>
      </x:c>
      <x:c r="G109" s="42" t="n">
        <x:f>D109-D108</x:f>
        <x:v>0.057351492947999995</x:v>
      </x:c>
      <x:c r="H109" s="66" t="str">
        <x:v>direct VSPAERO</x:v>
      </x:c>
      <x:c r="I109" s="66" t="str">
        <x:v>direct VSPAERO full corrected closed model; GO incidence from VSP model</x:v>
      </x:c>
      <x:c r="J109" s="42" t="n">
        <x:v>0</x:v>
      </x:c>
      <x:c r="K109" s="66"/>
      <x:c r="L109" s="66"/>
      <x:c r="M109" s="66"/>
      <x:c r="N109" s="66"/>
      <x:c r="O109" s="66"/>
      <x:c r="P109" s="66"/>
      <x:c r="Q109" s="66"/>
      <x:c r="R109" s="66"/>
      <x:c r="S109" s="66"/>
      <x:c r="T109" s="66"/>
      <x:c r="U109" s="66"/>
      <x:c r="V109" s="66"/>
      <x:c r="W109" s="66"/>
      <x:c r="X109" s="66"/>
      <x:c r="Y109" s="66"/>
      <x:c r="Z109" s="66"/>
      <x:c r="AA109" s="66"/>
      <x:c r="AB109" s="66"/>
      <x:c r="AC109" s="66"/>
    </x:row>
    <x:row r="110">
      <x:c r="A110" s="53" t="n">
        <x:v>1.6</x:v>
      </x:c>
      <x:c r="B110" s="66" t="str">
        <x:v>сверхзвук</x:v>
      </x:c>
      <x:c r="C110" s="53" t="n">
        <x:v>2</x:v>
      </x:c>
      <x:c r="D110" s="42" t="n">
        <x:v>0.157860262488</x:v>
      </x:c>
      <x:c r="E110" s="42" t="n">
        <x:v>0.054755802892</x:v>
      </x:c>
      <x:c r="F110" s="42" t="n">
        <x:v>-0.171587678281</x:v>
      </x:c>
      <x:c r="G110" s="42" t="n">
        <x:f>D110-D109</x:f>
        <x:v>0.05682741789700001</x:v>
      </x:c>
      <x:c r="H110" s="66" t="str">
        <x:v>direct VSPAERO</x:v>
      </x:c>
      <x:c r="I110" s="66" t="str">
        <x:v>direct VSPAERO full corrected closed model; GO incidence from VSP model</x:v>
      </x:c>
      <x:c r="J110" s="42" t="n">
        <x:v>0</x:v>
      </x:c>
      <x:c r="K110" s="66"/>
      <x:c r="L110" s="66"/>
      <x:c r="M110" s="66"/>
      <x:c r="N110" s="66"/>
      <x:c r="O110" s="66"/>
      <x:c r="P110" s="66"/>
      <x:c r="Q110" s="66"/>
      <x:c r="R110" s="66"/>
      <x:c r="S110" s="66"/>
      <x:c r="T110" s="66"/>
      <x:c r="U110" s="66"/>
      <x:c r="V110" s="66"/>
      <x:c r="W110" s="66"/>
      <x:c r="X110" s="66"/>
      <x:c r="Y110" s="66"/>
      <x:c r="Z110" s="66"/>
      <x:c r="AA110" s="66"/>
      <x:c r="AB110" s="66"/>
      <x:c r="AC110" s="66"/>
    </x:row>
    <x:row r="111">
      <x:c r="A111" s="53" t="n">
        <x:v>1.6</x:v>
      </x:c>
      <x:c r="B111" s="66" t="str">
        <x:v>сверхзвук</x:v>
      </x:c>
      <x:c r="C111" s="53" t="n">
        <x:v>3</x:v>
      </x:c>
      <x:c r="D111" s="42" t="n">
        <x:v>0.214013977687</x:v>
      </x:c>
      <x:c r="E111" s="42" t="n">
        <x:v>0.059900325134</x:v>
      </x:c>
      <x:c r="F111" s="42" t="n">
        <x:v>-0.235389394587</x:v>
      </x:c>
      <x:c r="G111" s="42" t="n">
        <x:f>D111-D110</x:f>
        <x:v>0.056153715199000004</x:v>
      </x:c>
      <x:c r="H111" s="66" t="str">
        <x:v>direct VSPAERO</x:v>
      </x:c>
      <x:c r="I111" s="66" t="str">
        <x:v>direct VSPAERO full corrected closed model; GO incidence from VSP model</x:v>
      </x:c>
      <x:c r="J111" s="42" t="n">
        <x:v>0</x:v>
      </x:c>
      <x:c r="K111" s="66"/>
      <x:c r="L111" s="66"/>
      <x:c r="M111" s="66"/>
      <x:c r="N111" s="66"/>
      <x:c r="O111" s="66"/>
      <x:c r="P111" s="66"/>
      <x:c r="Q111" s="66"/>
      <x:c r="R111" s="66"/>
      <x:c r="S111" s="66"/>
      <x:c r="T111" s="66"/>
      <x:c r="U111" s="66"/>
      <x:c r="V111" s="66"/>
      <x:c r="W111" s="66"/>
      <x:c r="X111" s="66"/>
      <x:c r="Y111" s="66"/>
      <x:c r="Z111" s="66"/>
      <x:c r="AA111" s="66"/>
      <x:c r="AB111" s="66"/>
      <x:c r="AC111" s="66"/>
    </x:row>
    <x:row r="112">
      <x:c r="A112" s="53" t="n">
        <x:v>1.6</x:v>
      </x:c>
      <x:c r="B112" s="66" t="str">
        <x:v>сверхзвук</x:v>
      </x:c>
      <x:c r="C112" s="53" t="n">
        <x:v>4</x:v>
      </x:c>
      <x:c r="D112" s="42" t="n">
        <x:v>0.269401960819</x:v>
      </x:c>
      <x:c r="E112" s="42" t="n">
        <x:v>0.066777903274</x:v>
      </x:c>
      <x:c r="F112" s="42" t="n">
        <x:v>-0.298541919709</x:v>
      </x:c>
      <x:c r="G112" s="42" t="n">
        <x:f>D112-D111</x:f>
        <x:v>0.05538798313199997</x:v>
      </x:c>
      <x:c r="H112" s="66" t="str">
        <x:v>direct VSPAERO</x:v>
      </x:c>
      <x:c r="I112" s="66" t="str">
        <x:v>direct VSPAERO full corrected closed model; GO incidence from VSP model</x:v>
      </x:c>
      <x:c r="J112" s="42" t="n">
        <x:v>0</x:v>
      </x:c>
      <x:c r="K112" s="66"/>
      <x:c r="L112" s="66"/>
      <x:c r="M112" s="66"/>
      <x:c r="N112" s="66"/>
      <x:c r="O112" s="66"/>
      <x:c r="P112" s="66"/>
      <x:c r="Q112" s="66"/>
      <x:c r="R112" s="66"/>
      <x:c r="S112" s="66"/>
      <x:c r="T112" s="66"/>
      <x:c r="U112" s="66"/>
      <x:c r="V112" s="66"/>
      <x:c r="W112" s="66"/>
      <x:c r="X112" s="66"/>
      <x:c r="Y112" s="66"/>
      <x:c r="Z112" s="66"/>
      <x:c r="AA112" s="66"/>
      <x:c r="AB112" s="66"/>
      <x:c r="AC112" s="66"/>
    </x:row>
    <x:row r="113">
      <x:c r="A113" s="53" t="n">
        <x:v>1.6</x:v>
      </x:c>
      <x:c r="B113" s="66" t="str">
        <x:v>сверхзвук</x:v>
      </x:c>
      <x:c r="C113" s="53" t="n">
        <x:v>5</x:v>
      </x:c>
      <x:c r="D113" s="42" t="n">
        <x:v>0.323788197879</x:v>
      </x:c>
      <x:c r="E113" s="42" t="n">
        <x:v>0.075350153708</x:v>
      </x:c>
      <x:c r="F113" s="42" t="n">
        <x:v>-0.360663952542</x:v>
      </x:c>
      <x:c r="G113" s="42" t="n">
        <x:f>D113-D112</x:f>
        <x:v>0.05438623706000001</x:v>
      </x:c>
      <x:c r="H113" s="66" t="str">
        <x:v>direct VSPAERO</x:v>
      </x:c>
      <x:c r="I113" s="66" t="str">
        <x:v>direct VSPAERO full corrected closed model; GO incidence from VSP model</x:v>
      </x:c>
      <x:c r="J113" s="42" t="n">
        <x:v>0</x:v>
      </x:c>
      <x:c r="K113" s="66"/>
      <x:c r="L113" s="66"/>
      <x:c r="M113" s="66"/>
      <x:c r="N113" s="66"/>
      <x:c r="O113" s="66"/>
      <x:c r="P113" s="66"/>
      <x:c r="Q113" s="66"/>
      <x:c r="R113" s="66"/>
      <x:c r="S113" s="66"/>
      <x:c r="T113" s="66"/>
      <x:c r="U113" s="66"/>
      <x:c r="V113" s="66"/>
      <x:c r="W113" s="66"/>
      <x:c r="X113" s="66"/>
      <x:c r="Y113" s="66"/>
      <x:c r="Z113" s="66"/>
      <x:c r="AA113" s="66"/>
      <x:c r="AB113" s="66"/>
      <x:c r="AC113" s="66"/>
    </x:row>
    <x:row r="114">
      <x:c r="A114" s="53" t="n">
        <x:v>1.7</x:v>
      </x:c>
      <x:c r="B114" s="66" t="str">
        <x:v>сверхзвук</x:v>
      </x:c>
      <x:c r="C114" s="53" t="n">
        <x:v>0</x:v>
      </x:c>
      <x:c r="D114" s="42" t="n">
        <x:v>0.035966969673</x:v>
      </x:c>
      <x:c r="E114" s="42" t="n">
        <x:v>0.045256693588</x:v>
      </x:c>
      <x:c r="F114" s="42" t="n">
        <x:v>-0.024300389598</x:v>
      </x:c>
      <x:c r="G114" s="42"/>
      <x:c r="H114" s="66" t="str">
        <x:v>direct VSPAERO</x:v>
      </x:c>
      <x:c r="I114" s="66" t="str">
        <x:v>direct VSPAERO full corrected closed model; GO incidence from VSP model</x:v>
      </x:c>
      <x:c r="J114" s="42" t="n">
        <x:v>0</x:v>
      </x:c>
      <x:c r="K114" s="66"/>
      <x:c r="L114" s="66"/>
      <x:c r="M114" s="66"/>
      <x:c r="N114" s="66"/>
      <x:c r="O114" s="66"/>
      <x:c r="P114" s="66"/>
      <x:c r="Q114" s="66"/>
      <x:c r="R114" s="66"/>
      <x:c r="S114" s="66"/>
      <x:c r="T114" s="66"/>
      <x:c r="U114" s="66"/>
      <x:c r="V114" s="66"/>
      <x:c r="W114" s="66"/>
      <x:c r="X114" s="66"/>
      <x:c r="Y114" s="66"/>
      <x:c r="Z114" s="66"/>
      <x:c r="AA114" s="66"/>
      <x:c r="AB114" s="66"/>
      <x:c r="AC114" s="66"/>
    </x:row>
    <x:row r="115">
      <x:c r="A115" s="53" t="n">
        <x:v>1.7</x:v>
      </x:c>
      <x:c r="B115" s="66" t="str">
        <x:v>сверхзвук</x:v>
      </x:c>
      <x:c r="C115" s="53" t="n">
        <x:v>1</x:v>
      </x:c>
      <x:c r="D115" s="42" t="n">
        <x:v>0.093365102857</x:v>
      </x:c>
      <x:c r="E115" s="42" t="n">
        <x:v>0.04682790565</x:v>
      </x:c>
      <x:c r="F115" s="42" t="n">
        <x:v>-0.092403733926</x:v>
      </x:c>
      <x:c r="G115" s="42" t="n">
        <x:f>D115-D114</x:f>
        <x:v>0.05739813318400001</x:v>
      </x:c>
      <x:c r="H115" s="66" t="str">
        <x:v>direct VSPAERO</x:v>
      </x:c>
      <x:c r="I115" s="66" t="str">
        <x:v>direct VSPAERO full corrected closed model; GO incidence from VSP model</x:v>
      </x:c>
      <x:c r="J115" s="42" t="n">
        <x:v>0</x:v>
      </x:c>
      <x:c r="K115" s="66"/>
      <x:c r="L115" s="66"/>
      <x:c r="M115" s="66"/>
      <x:c r="N115" s="66"/>
      <x:c r="O115" s="66"/>
      <x:c r="P115" s="66"/>
      <x:c r="Q115" s="66"/>
      <x:c r="R115" s="66"/>
      <x:c r="S115" s="66"/>
      <x:c r="T115" s="66"/>
      <x:c r="U115" s="66"/>
      <x:c r="V115" s="66"/>
      <x:c r="W115" s="66"/>
      <x:c r="X115" s="66"/>
      <x:c r="Y115" s="66"/>
      <x:c r="Z115" s="66"/>
      <x:c r="AA115" s="66"/>
      <x:c r="AB115" s="66"/>
      <x:c r="AC115" s="66"/>
    </x:row>
    <x:row r="116">
      <x:c r="A116" s="53" t="n">
        <x:v>1.7</x:v>
      </x:c>
      <x:c r="B116" s="66" t="str">
        <x:v>сверхзвук</x:v>
      </x:c>
      <x:c r="C116" s="53" t="n">
        <x:v>2</x:v>
      </x:c>
      <x:c r="D116" s="42" t="n">
        <x:v>0.148340248584</x:v>
      </x:c>
      <x:c r="E116" s="42" t="n">
        <x:v>0.050185311085</x:v>
      </x:c>
      <x:c r="F116" s="42" t="n">
        <x:v>-0.155257672373</x:v>
      </x:c>
      <x:c r="G116" s="42" t="n">
        <x:f>D116-D115</x:f>
        <x:v>0.05497514572699999</x:v>
      </x:c>
      <x:c r="H116" s="66" t="str">
        <x:v>direct VSPAERO</x:v>
      </x:c>
      <x:c r="I116" s="66" t="str">
        <x:v>direct VSPAERO full corrected closed model; GO incidence from VSP model</x:v>
      </x:c>
      <x:c r="J116" s="42" t="n">
        <x:v>0</x:v>
      </x:c>
      <x:c r="K116" s="66"/>
      <x:c r="L116" s="66"/>
      <x:c r="M116" s="66"/>
      <x:c r="N116" s="66"/>
      <x:c r="O116" s="66"/>
      <x:c r="P116" s="66"/>
      <x:c r="Q116" s="66"/>
      <x:c r="R116" s="66"/>
      <x:c r="S116" s="66"/>
      <x:c r="T116" s="66"/>
      <x:c r="U116" s="66"/>
      <x:c r="V116" s="66"/>
      <x:c r="W116" s="66"/>
      <x:c r="X116" s="66"/>
      <x:c r="Y116" s="66"/>
      <x:c r="Z116" s="66"/>
      <x:c r="AA116" s="66"/>
      <x:c r="AB116" s="66"/>
      <x:c r="AC116" s="66"/>
    </x:row>
    <x:row r="117">
      <x:c r="A117" s="53" t="n">
        <x:v>1.7</x:v>
      </x:c>
      <x:c r="B117" s="66" t="str">
        <x:v>сверхзвук</x:v>
      </x:c>
      <x:c r="C117" s="53" t="n">
        <x:v>3</x:v>
      </x:c>
      <x:c r="D117" s="42" t="n">
        <x:v>0.202641112341</x:v>
      </x:c>
      <x:c r="E117" s="42" t="n">
        <x:v>0.055275665065</x:v>
      </x:c>
      <x:c r="F117" s="42" t="n">
        <x:v>-0.217259818833</x:v>
      </x:c>
      <x:c r="G117" s="42" t="n">
        <x:f>D117-D116</x:f>
        <x:v>0.054300863756999995</x:v>
      </x:c>
      <x:c r="H117" s="66" t="str">
        <x:v>direct VSPAERO</x:v>
      </x:c>
      <x:c r="I117" s="66" t="str">
        <x:v>direct VSPAERO full corrected closed model; GO incidence from VSP model</x:v>
      </x:c>
      <x:c r="J117" s="42" t="n">
        <x:v>0</x:v>
      </x:c>
      <x:c r="K117" s="66"/>
      <x:c r="L117" s="66"/>
      <x:c r="M117" s="66"/>
      <x:c r="N117" s="66"/>
      <x:c r="O117" s="66"/>
      <x:c r="P117" s="66"/>
      <x:c r="Q117" s="66"/>
      <x:c r="R117" s="66"/>
      <x:c r="S117" s="66"/>
      <x:c r="T117" s="66"/>
      <x:c r="U117" s="66"/>
      <x:c r="V117" s="66"/>
      <x:c r="W117" s="66"/>
      <x:c r="X117" s="66"/>
      <x:c r="Y117" s="66"/>
      <x:c r="Z117" s="66"/>
      <x:c r="AA117" s="66"/>
      <x:c r="AB117" s="66"/>
      <x:c r="AC117" s="66"/>
    </x:row>
    <x:row r="118">
      <x:c r="A118" s="53" t="n">
        <x:v>1.7</x:v>
      </x:c>
      <x:c r="B118" s="66" t="str">
        <x:v>сверхзвук</x:v>
      </x:c>
      <x:c r="C118" s="53" t="n">
        <x:v>4</x:v>
      </x:c>
      <x:c r="D118" s="42" t="n">
        <x:v>0.256249956119</x:v>
      </x:c>
      <x:c r="E118" s="42" t="n">
        <x:v>0.062069319466</x:v>
      </x:c>
      <x:c r="F118" s="42" t="n">
        <x:v>-0.278619665542</x:v>
      </x:c>
      <x:c r="G118" s="42" t="n">
        <x:f>D118-D117</x:f>
        <x:v>0.05360884377799999</x:v>
      </x:c>
      <x:c r="H118" s="66" t="str">
        <x:v>direct VSPAERO</x:v>
      </x:c>
      <x:c r="I118" s="66" t="str">
        <x:v>direct VSPAERO full corrected closed model; GO incidence from VSP model</x:v>
      </x:c>
      <x:c r="J118" s="42" t="n">
        <x:v>0</x:v>
      </x:c>
      <x:c r="K118" s="66"/>
      <x:c r="L118" s="66"/>
      <x:c r="M118" s="66"/>
      <x:c r="N118" s="66"/>
      <x:c r="O118" s="66"/>
      <x:c r="P118" s="66"/>
      <x:c r="Q118" s="66"/>
      <x:c r="R118" s="66"/>
      <x:c r="S118" s="66"/>
      <x:c r="T118" s="66"/>
      <x:c r="U118" s="66"/>
      <x:c r="V118" s="66"/>
      <x:c r="W118" s="66"/>
      <x:c r="X118" s="66"/>
      <x:c r="Y118" s="66"/>
      <x:c r="Z118" s="66"/>
      <x:c r="AA118" s="66"/>
      <x:c r="AB118" s="66"/>
      <x:c r="AC118" s="66"/>
    </x:row>
    <x:row r="119">
      <x:c r="A119" s="53" t="n">
        <x:v>1.7</x:v>
      </x:c>
      <x:c r="B119" s="66" t="str">
        <x:v>сверхзвук</x:v>
      </x:c>
      <x:c r="C119" s="53" t="n">
        <x:v>5</x:v>
      </x:c>
      <x:c r="D119" s="42" t="n">
        <x:v>0.308756888692</x:v>
      </x:c>
      <x:c r="E119" s="42" t="n">
        <x:v>0.070524712311</x:v>
      </x:c>
      <x:c r="F119" s="42" t="n">
        <x:v>-0.338560178136</x:v>
      </x:c>
      <x:c r="G119" s="42" t="n">
        <x:f>D119-D118</x:f>
        <x:v>0.05250693257300004</x:v>
      </x:c>
      <x:c r="H119" s="66" t="str">
        <x:v>direct VSPAERO</x:v>
      </x:c>
      <x:c r="I119" s="66" t="str">
        <x:v>direct VSPAERO full corrected closed model; GO incidence from VSP model</x:v>
      </x:c>
      <x:c r="J119" s="42" t="n">
        <x:v>0</x:v>
      </x:c>
      <x:c r="K119" s="66"/>
      <x:c r="L119" s="66"/>
      <x:c r="M119" s="66"/>
      <x:c r="N119" s="66"/>
      <x:c r="O119" s="66"/>
      <x:c r="P119" s="66"/>
      <x:c r="Q119" s="66"/>
      <x:c r="R119" s="66"/>
      <x:c r="S119" s="66"/>
      <x:c r="T119" s="66"/>
      <x:c r="U119" s="66"/>
      <x:c r="V119" s="66"/>
      <x:c r="W119" s="66"/>
      <x:c r="X119" s="66"/>
      <x:c r="Y119" s="66"/>
      <x:c r="Z119" s="66"/>
      <x:c r="AA119" s="66"/>
      <x:c r="AB119" s="66"/>
      <x:c r="AC119" s="66"/>
    </x:row>
    <x:row r="120">
      <x:c r="A120" s="53" t="n">
        <x:v>1.8</x:v>
      </x:c>
      <x:c r="B120" s="66" t="str">
        <x:v>сверхзвук</x:v>
      </x:c>
      <x:c r="C120" s="53" t="n">
        <x:v>0</x:v>
      </x:c>
      <x:c r="D120" s="42" t="n">
        <x:v>0.03781069549</x:v>
      </x:c>
      <x:c r="E120" s="42" t="n">
        <x:v>0.039348718082</x:v>
      </x:c>
      <x:c r="F120" s="42" t="n">
        <x:v>-0.03471759671</x:v>
      </x:c>
      <x:c r="G120" s="42"/>
      <x:c r="H120" s="66" t="str">
        <x:v>direct VSPAERO</x:v>
      </x:c>
      <x:c r="I120" s="66" t="str">
        <x:v>direct VSPAERO full corrected closed model; GO incidence from VSP model</x:v>
      </x:c>
      <x:c r="J120" s="42" t="n">
        <x:v>0</x:v>
      </x:c>
      <x:c r="K120" s="66"/>
      <x:c r="L120" s="66"/>
      <x:c r="M120" s="66"/>
      <x:c r="N120" s="66"/>
      <x:c r="O120" s="66"/>
      <x:c r="P120" s="66"/>
      <x:c r="Q120" s="66"/>
      <x:c r="R120" s="66"/>
      <x:c r="S120" s="66"/>
      <x:c r="T120" s="66"/>
      <x:c r="U120" s="66"/>
      <x:c r="V120" s="66"/>
      <x:c r="W120" s="66"/>
      <x:c r="X120" s="66"/>
      <x:c r="Y120" s="66"/>
      <x:c r="Z120" s="66"/>
      <x:c r="AA120" s="66"/>
      <x:c r="AB120" s="66"/>
      <x:c r="AC120" s="66"/>
    </x:row>
    <x:row r="121">
      <x:c r="A121" s="53" t="n">
        <x:v>1.8</x:v>
      </x:c>
      <x:c r="B121" s="66" t="str">
        <x:v>сверхзвук</x:v>
      </x:c>
      <x:c r="C121" s="53" t="n">
        <x:v>1</x:v>
      </x:c>
      <x:c r="D121" s="42" t="n">
        <x:v>0.090559634808</x:v>
      </x:c>
      <x:c r="E121" s="42" t="n">
        <x:v>0.041323349405</x:v>
      </x:c>
      <x:c r="F121" s="42" t="n">
        <x:v>-0.094351900586</x:v>
      </x:c>
      <x:c r="G121" s="42" t="n">
        <x:f>D121-D120</x:f>
        <x:v>0.052748939318</x:v>
      </x:c>
      <x:c r="H121" s="66" t="str">
        <x:v>direct VSPAERO</x:v>
      </x:c>
      <x:c r="I121" s="66" t="str">
        <x:v>direct VSPAERO full corrected closed model; GO incidence from VSP model</x:v>
      </x:c>
      <x:c r="J121" s="42" t="n">
        <x:v>0</x:v>
      </x:c>
      <x:c r="K121" s="66"/>
      <x:c r="L121" s="66"/>
      <x:c r="M121" s="66"/>
      <x:c r="N121" s="66"/>
      <x:c r="O121" s="66"/>
      <x:c r="P121" s="66"/>
      <x:c r="Q121" s="66"/>
      <x:c r="R121" s="66"/>
      <x:c r="S121" s="66"/>
      <x:c r="T121" s="66"/>
      <x:c r="U121" s="66"/>
      <x:c r="V121" s="66"/>
      <x:c r="W121" s="66"/>
      <x:c r="X121" s="66"/>
      <x:c r="Y121" s="66"/>
      <x:c r="Z121" s="66"/>
      <x:c r="AA121" s="66"/>
      <x:c r="AB121" s="66"/>
      <x:c r="AC121" s="66"/>
    </x:row>
    <x:row r="122">
      <x:c r="A122" s="53" t="n">
        <x:v>1.8</x:v>
      </x:c>
      <x:c r="B122" s="66" t="str">
        <x:v>сверхзвук</x:v>
      </x:c>
      <x:c r="C122" s="53" t="n">
        <x:v>2</x:v>
      </x:c>
      <x:c r="D122" s="42" t="n">
        <x:v>0.144663545594</x:v>
      </x:c>
      <x:c r="E122" s="42" t="n">
        <x:v>0.045703988185</x:v>
      </x:c>
      <x:c r="F122" s="42" t="n">
        <x:v>-0.157519771278</x:v>
      </x:c>
      <x:c r="G122" s="42" t="n">
        <x:f>D122-D121</x:f>
        <x:v>0.05410391078599999</x:v>
      </x:c>
      <x:c r="H122" s="66" t="str">
        <x:v>direct VSPAERO</x:v>
      </x:c>
      <x:c r="I122" s="66" t="str">
        <x:v>direct VSPAERO full corrected closed model; GO incidence from VSP model</x:v>
      </x:c>
      <x:c r="J122" s="42" t="n">
        <x:v>0</x:v>
      </x:c>
      <x:c r="K122" s="66"/>
      <x:c r="L122" s="66"/>
      <x:c r="M122" s="66"/>
      <x:c r="N122" s="66"/>
      <x:c r="O122" s="66"/>
      <x:c r="P122" s="66"/>
      <x:c r="Q122" s="66"/>
      <x:c r="R122" s="66"/>
      <x:c r="S122" s="66"/>
      <x:c r="T122" s="66"/>
      <x:c r="U122" s="66"/>
      <x:c r="V122" s="66"/>
      <x:c r="W122" s="66"/>
      <x:c r="X122" s="66"/>
      <x:c r="Y122" s="66"/>
      <x:c r="Z122" s="66"/>
      <x:c r="AA122" s="66"/>
      <x:c r="AB122" s="66"/>
      <x:c r="AC122" s="66"/>
    </x:row>
    <x:row r="123">
      <x:c r="A123" s="53" t="n">
        <x:v>1.8</x:v>
      </x:c>
      <x:c r="B123" s="66" t="str">
        <x:v>сверхзвук</x:v>
      </x:c>
      <x:c r="C123" s="53" t="n">
        <x:v>3</x:v>
      </x:c>
      <x:c r="D123" s="42" t="n">
        <x:v>0.199444553059</x:v>
      </x:c>
      <x:c r="E123" s="42" t="n">
        <x:v>0.052524889802</x:v>
      </x:c>
      <x:c r="F123" s="42" t="n">
        <x:v>-0.223014275327</x:v>
      </x:c>
      <x:c r="G123" s="42" t="n">
        <x:f>D123-D122</x:f>
        <x:v>0.054781007465</x:v>
      </x:c>
      <x:c r="H123" s="66" t="str">
        <x:v>direct VSPAERO</x:v>
      </x:c>
      <x:c r="I123" s="66" t="str">
        <x:v>direct VSPAERO full corrected closed model; GO incidence from VSP model</x:v>
      </x:c>
      <x:c r="J123" s="42" t="n">
        <x:v>0</x:v>
      </x:c>
      <x:c r="K123" s="66"/>
      <x:c r="L123" s="66"/>
      <x:c r="M123" s="66"/>
      <x:c r="N123" s="66"/>
      <x:c r="O123" s="66"/>
      <x:c r="P123" s="66"/>
      <x:c r="Q123" s="66"/>
      <x:c r="R123" s="66"/>
      <x:c r="S123" s="66"/>
      <x:c r="T123" s="66"/>
      <x:c r="U123" s="66"/>
      <x:c r="V123" s="66"/>
      <x:c r="W123" s="66"/>
      <x:c r="X123" s="66"/>
      <x:c r="Y123" s="66"/>
      <x:c r="Z123" s="66"/>
      <x:c r="AA123" s="66"/>
      <x:c r="AB123" s="66"/>
      <x:c r="AC123" s="66"/>
    </x:row>
    <x:row r="124">
      <x:c r="A124" s="53" t="n">
        <x:v>1.8</x:v>
      </x:c>
      <x:c r="B124" s="66" t="str">
        <x:v>сверхзвук</x:v>
      </x:c>
      <x:c r="C124" s="53" t="n">
        <x:v>4</x:v>
      </x:c>
      <x:c r="D124" s="42" t="n">
        <x:v>0.254607843586</x:v>
      </x:c>
      <x:c r="E124" s="42" t="n">
        <x:v>0.061727992807</x:v>
      </x:c>
      <x:c r="F124" s="42" t="n">
        <x:v>-0.290396953696</x:v>
      </x:c>
      <x:c r="G124" s="42" t="n">
        <x:f>D124-D123</x:f>
        <x:v>0.05516329052700003</x:v>
      </x:c>
      <x:c r="H124" s="66" t="str">
        <x:v>direct VSPAERO</x:v>
      </x:c>
      <x:c r="I124" s="66" t="str">
        <x:v>direct VSPAERO full corrected closed model; GO incidence from VSP model</x:v>
      </x:c>
      <x:c r="J124" s="42" t="n">
        <x:v>0</x:v>
      </x:c>
      <x:c r="K124" s="66"/>
      <x:c r="L124" s="66"/>
      <x:c r="M124" s="66"/>
      <x:c r="N124" s="66"/>
      <x:c r="O124" s="66"/>
      <x:c r="P124" s="66"/>
      <x:c r="Q124" s="66"/>
      <x:c r="R124" s="66"/>
      <x:c r="S124" s="66"/>
      <x:c r="T124" s="66"/>
      <x:c r="U124" s="66"/>
      <x:c r="V124" s="66"/>
      <x:c r="W124" s="66"/>
      <x:c r="X124" s="66"/>
      <x:c r="Y124" s="66"/>
      <x:c r="Z124" s="66"/>
      <x:c r="AA124" s="66"/>
      <x:c r="AB124" s="66"/>
      <x:c r="AC124" s="66"/>
    </x:row>
    <x:row r="125">
      <x:c r="A125" s="53" t="n">
        <x:v>1.8</x:v>
      </x:c>
      <x:c r="B125" s="66" t="str">
        <x:v>сверхзвук</x:v>
      </x:c>
      <x:c r="C125" s="53" t="n">
        <x:v>5</x:v>
      </x:c>
      <x:c r="D125" s="42" t="n">
        <x:v>0.309657182557</x:v>
      </x:c>
      <x:c r="E125" s="42" t="n">
        <x:v>0.073339491923</x:v>
      </x:c>
      <x:c r="F125" s="42" t="n">
        <x:v>-0.358726475626</x:v>
      </x:c>
      <x:c r="G125" s="42" t="n">
        <x:f>D125-D124</x:f>
        <x:v>0.05504933897099995</x:v>
      </x:c>
      <x:c r="H125" s="66" t="str">
        <x:v>direct VSPAERO</x:v>
      </x:c>
      <x:c r="I125" s="66" t="str">
        <x:v>direct VSPAERO full corrected closed model; GO incidence from VSP model</x:v>
      </x:c>
      <x:c r="J125" s="42" t="n">
        <x:v>0</x:v>
      </x:c>
      <x:c r="K125" s="66"/>
      <x:c r="L125" s="66"/>
      <x:c r="M125" s="66"/>
      <x:c r="N125" s="66"/>
      <x:c r="O125" s="66"/>
      <x:c r="P125" s="66"/>
      <x:c r="Q125" s="66"/>
      <x:c r="R125" s="66"/>
      <x:c r="S125" s="66"/>
      <x:c r="T125" s="66"/>
      <x:c r="U125" s="66"/>
      <x:c r="V125" s="66"/>
      <x:c r="W125" s="66"/>
      <x:c r="X125" s="66"/>
      <x:c r="Y125" s="66"/>
      <x:c r="Z125" s="66"/>
      <x:c r="AA125" s="66"/>
      <x:c r="AB125" s="66"/>
      <x:c r="AC125" s="66"/>
    </x:row>
    <x:row r="126">
      <x:c r="A126" s="56" t="n">
        <x:v>1.9</x:v>
      </x:c>
      <x:c r="B126" s="44" t="str">
        <x:v>сверхзвук</x:v>
      </x:c>
      <x:c r="C126" s="56" t="n">
        <x:v>0</x:v>
      </x:c>
      <x:c r="D126" s="57" t="n">
        <x:v>0.0357583730695</x:v>
      </x:c>
      <x:c r="E126" s="57" t="n">
        <x:v>0.03747306577125</x:v>
      </x:c>
      <x:c r="F126" s="57" t="n">
        <x:v>-0.0333867197225</x:v>
      </x:c>
      <x:c r="G126" s="57"/>
      <x:c r="H126" s="44" t="str">
        <x:v>interpolation M1.8-M2.2</x:v>
      </x:c>
      <x:c r="I126" s="44" t="str">
        <x:v>linear interpolation of stable full-model VSPAERO solutions M=1.8/2.2; GO incidence from VSP model</x:v>
      </x:c>
      <x:c r="J126" s="57" t="n">
        <x:v>0.03738040068949999</x:v>
      </x:c>
      <x:c r="K126" s="66"/>
      <x:c r="L126" s="66"/>
      <x:c r="M126" s="66"/>
      <x:c r="N126" s="66"/>
      <x:c r="O126" s="66"/>
      <x:c r="P126" s="66"/>
      <x:c r="Q126" s="66"/>
      <x:c r="R126" s="66"/>
      <x:c r="S126" s="66"/>
      <x:c r="T126" s="66"/>
      <x:c r="U126" s="66"/>
      <x:c r="V126" s="66"/>
      <x:c r="W126" s="66"/>
      <x:c r="X126" s="66"/>
      <x:c r="Y126" s="66"/>
      <x:c r="Z126" s="66"/>
      <x:c r="AA126" s="66"/>
      <x:c r="AB126" s="66"/>
      <x:c r="AC126" s="66"/>
    </x:row>
    <x:row r="127">
      <x:c r="A127" s="56" t="n">
        <x:v>1.9</x:v>
      </x:c>
      <x:c r="B127" s="44" t="str">
        <x:v>сверхзвук</x:v>
      </x:c>
      <x:c r="C127" s="56" t="n">
        <x:v>1</x:v>
      </x:c>
      <x:c r="D127" s="57" t="n">
        <x:v>0.0857928884565</x:v>
      </x:c>
      <x:c r="E127" s="57" t="n">
        <x:v>0.039478836889750006</x:v>
      </x:c>
      <x:c r="F127" s="57" t="n">
        <x:v>-0.08985870511125</x:v>
      </x:c>
      <x:c r="G127" s="57" t="n">
        <x:f>D127-D126</x:f>
        <x:v>0.050034515387</x:v>
      </x:c>
      <x:c r="H127" s="44" t="str">
        <x:v>interpolation M1.8-M2.2</x:v>
      </x:c>
      <x:c r="I127" s="44" t="str">
        <x:v>linear interpolation of stable full-model VSPAERO solutions M=1.8/2.2; GO incidence from VSP model</x:v>
      </x:c>
      <x:c r="J127" s="57" t="n">
        <x:v>0.03738040068949999</x:v>
      </x:c>
      <x:c r="K127" s="66"/>
      <x:c r="L127" s="66"/>
      <x:c r="M127" s="66"/>
      <x:c r="N127" s="66"/>
      <x:c r="O127" s="66"/>
      <x:c r="P127" s="66"/>
      <x:c r="Q127" s="66"/>
      <x:c r="R127" s="66"/>
      <x:c r="S127" s="66"/>
      <x:c r="T127" s="66"/>
      <x:c r="U127" s="66"/>
      <x:c r="V127" s="66"/>
      <x:c r="W127" s="66"/>
      <x:c r="X127" s="66"/>
      <x:c r="Y127" s="66"/>
      <x:c r="Z127" s="66"/>
      <x:c r="AA127" s="66"/>
      <x:c r="AB127" s="66"/>
      <x:c r="AC127" s="66"/>
    </x:row>
    <x:row r="128">
      <x:c r="A128" s="56" t="n">
        <x:v>1.9</x:v>
      </x:c>
      <x:c r="B128" s="44" t="str">
        <x:v>сверхзвук</x:v>
      </x:c>
      <x:c r="C128" s="56" t="n">
        <x:v>2</x:v>
      </x:c>
      <x:c r="D128" s="57" t="n">
        <x:v>0.13684622052775</x:v>
      </x:c>
      <x:c r="E128" s="57" t="n">
        <x:v>0.043865495178500004</x:v>
      </x:c>
      <x:c r="F128" s="57" t="n">
        <x:v>-0.149199654479</x:v>
      </x:c>
      <x:c r="G128" s="57" t="n">
        <x:f>D128-D127</x:f>
        <x:v>0.05105333207125</x:v>
      </x:c>
      <x:c r="H128" s="44" t="str">
        <x:v>interpolation M1.8-M2.2</x:v>
      </x:c>
      <x:c r="I128" s="44" t="str">
        <x:v>linear interpolation of stable full-model VSPAERO solutions M=1.8/2.2; GO incidence from VSP model</x:v>
      </x:c>
      <x:c r="J128" s="57" t="n">
        <x:v>0.03738040068949999</x:v>
      </x:c>
      <x:c r="K128" s="66"/>
      <x:c r="L128" s="66"/>
      <x:c r="M128" s="66"/>
      <x:c r="N128" s="66"/>
      <x:c r="O128" s="66"/>
      <x:c r="P128" s="66"/>
      <x:c r="Q128" s="66"/>
      <x:c r="R128" s="66"/>
      <x:c r="S128" s="66"/>
      <x:c r="T128" s="66"/>
      <x:c r="U128" s="66"/>
      <x:c r="V128" s="66"/>
      <x:c r="W128" s="66"/>
      <x:c r="X128" s="66"/>
      <x:c r="Y128" s="66"/>
      <x:c r="Z128" s="66"/>
      <x:c r="AA128" s="66"/>
      <x:c r="AB128" s="66"/>
      <x:c r="AC128" s="66"/>
    </x:row>
    <x:row r="129">
      <x:c r="A129" s="56" t="n">
        <x:v>1.9</x:v>
      </x:c>
      <x:c r="B129" s="44" t="str">
        <x:v>сверхзвук</x:v>
      </x:c>
      <x:c r="C129" s="56" t="n">
        <x:v>3</x:v>
      </x:c>
      <x:c r="D129" s="57" t="n">
        <x:v>0.1882563553275</x:v>
      </x:c>
      <x:c r="E129" s="57" t="n">
        <x:v>0.05063407759025</x:v>
      </x:c>
      <x:c r="F129" s="57" t="n">
        <x:v>-0.2102354618885</x:v>
      </x:c>
      <x:c r="G129" s="57" t="n">
        <x:f>D129-D128</x:f>
        <x:v>0.05141013479975001</x:v>
      </x:c>
      <x:c r="H129" s="44" t="str">
        <x:v>interpolation M1.8-M2.2</x:v>
      </x:c>
      <x:c r="I129" s="44" t="str">
        <x:v>linear interpolation of stable full-model VSPAERO solutions M=1.8/2.2; GO incidence from VSP model</x:v>
      </x:c>
      <x:c r="J129" s="57" t="n">
        <x:v>0.03738040068949999</x:v>
      </x:c>
      <x:c r="K129" s="66"/>
      <x:c r="L129" s="66"/>
      <x:c r="M129" s="66"/>
      <x:c r="N129" s="66"/>
      <x:c r="O129" s="66"/>
      <x:c r="P129" s="66"/>
      <x:c r="Q129" s="66"/>
      <x:c r="R129" s="66"/>
      <x:c r="S129" s="66"/>
      <x:c r="T129" s="66"/>
      <x:c r="U129" s="66"/>
      <x:c r="V129" s="66"/>
      <x:c r="W129" s="66"/>
      <x:c r="X129" s="66"/>
      <x:c r="Y129" s="66"/>
      <x:c r="Z129" s="66"/>
      <x:c r="AA129" s="66"/>
      <x:c r="AB129" s="66"/>
      <x:c r="AC129" s="66"/>
    </x:row>
    <x:row r="130">
      <x:c r="A130" s="56" t="n">
        <x:v>1.9</x:v>
      </x:c>
      <x:c r="B130" s="44" t="str">
        <x:v>сверхзвук</x:v>
      </x:c>
      <x:c r="C130" s="56" t="n">
        <x:v>4</x:v>
      </x:c>
      <x:c r="D130" s="57" t="n">
        <x:v>0.23974384757175005</x:v>
      </x:c>
      <x:c r="E130" s="57" t="n">
        <x:v>0.059733539192</x:v>
      </x:c>
      <x:c r="F130" s="57" t="n">
        <x:v>-0.27256847907625004</x:v>
      </x:c>
      <x:c r="G130" s="57" t="n">
        <x:f>D130-D129</x:f>
        <x:v>0.05148749224425003</x:v>
      </x:c>
      <x:c r="H130" s="44" t="str">
        <x:v>interpolation M1.8-M2.2</x:v>
      </x:c>
      <x:c r="I130" s="44" t="str">
        <x:v>linear interpolation of stable full-model VSPAERO solutions M=1.8/2.2; GO incidence from VSP model</x:v>
      </x:c>
      <x:c r="J130" s="57" t="n">
        <x:v>0.03738040068949999</x:v>
      </x:c>
      <x:c r="K130" s="66"/>
      <x:c r="L130" s="66"/>
      <x:c r="M130" s="66"/>
      <x:c r="N130" s="66"/>
      <x:c r="O130" s="66"/>
      <x:c r="P130" s="66"/>
      <x:c r="Q130" s="66"/>
      <x:c r="R130" s="66"/>
      <x:c r="S130" s="66"/>
      <x:c r="T130" s="66"/>
      <x:c r="U130" s="66"/>
      <x:c r="V130" s="66"/>
      <x:c r="W130" s="66"/>
      <x:c r="X130" s="66"/>
      <x:c r="Y130" s="66"/>
      <x:c r="Z130" s="66"/>
      <x:c r="AA130" s="66"/>
      <x:c r="AB130" s="66"/>
      <x:c r="AC130" s="66"/>
    </x:row>
    <x:row r="131">
      <x:c r="A131" s="56" t="n">
        <x:v>1.9</x:v>
      </x:c>
      <x:c r="B131" s="44" t="str">
        <x:v>сверхзвук</x:v>
      </x:c>
      <x:c r="C131" s="56" t="n">
        <x:v>5</x:v>
      </x:c>
      <x:c r="D131" s="57" t="n">
        <x:v>0.29096698221225004</x:v>
      </x:c>
      <x:c r="E131" s="57" t="n">
        <x:v>0.071172240892</x:v>
      </x:c>
      <x:c r="F131" s="57" t="n">
        <x:v>-0.33563263055850007</x:v>
      </x:c>
      <x:c r="G131" s="57" t="n">
        <x:f>D131-D130</x:f>
        <x:v>0.05122313464049999</x:v>
      </x:c>
      <x:c r="H131" s="44" t="str">
        <x:v>interpolation M1.8-M2.2</x:v>
      </x:c>
      <x:c r="I131" s="44" t="str">
        <x:v>linear interpolation of stable full-model VSPAERO solutions M=1.8/2.2; GO incidence from VSP model</x:v>
      </x:c>
      <x:c r="J131" s="57" t="n">
        <x:v>0.03738040068949999</x:v>
      </x:c>
      <x:c r="K131" s="66"/>
      <x:c r="L131" s="66"/>
      <x:c r="M131" s="66"/>
      <x:c r="N131" s="66"/>
      <x:c r="O131" s="66"/>
      <x:c r="P131" s="66"/>
      <x:c r="Q131" s="66"/>
      <x:c r="R131" s="66"/>
      <x:c r="S131" s="66"/>
      <x:c r="T131" s="66"/>
      <x:c r="U131" s="66"/>
      <x:c r="V131" s="66"/>
      <x:c r="W131" s="66"/>
      <x:c r="X131" s="66"/>
      <x:c r="Y131" s="66"/>
      <x:c r="Z131" s="66"/>
      <x:c r="AA131" s="66"/>
      <x:c r="AB131" s="66"/>
      <x:c r="AC131" s="66"/>
    </x:row>
    <x:row r="132">
      <x:c r="A132" s="56" t="n">
        <x:v>2</x:v>
      </x:c>
      <x:c r="B132" s="44" t="str">
        <x:v>сверхзвук</x:v>
      </x:c>
      <x:c r="C132" s="56" t="n">
        <x:v>0</x:v>
      </x:c>
      <x:c r="D132" s="57" t="n">
        <x:v>0.033706050649</x:v>
      </x:c>
      <x:c r="E132" s="57" t="n">
        <x:v>0.0355974134605</x:v>
      </x:c>
      <x:c r="F132" s="57" t="n">
        <x:v>-0.032055842735</x:v>
      </x:c>
      <x:c r="G132" s="57"/>
      <x:c r="H132" s="44" t="str">
        <x:v>interpolation M1.8-M2.2</x:v>
      </x:c>
      <x:c r="I132" s="44" t="str">
        <x:v>linear interpolation of stable full-model VSPAERO solutions M=1.8/2.2; GO incidence from VSP model</x:v>
      </x:c>
      <x:c r="J132" s="57" t="n">
        <x:v>0.03738040068949999</x:v>
      </x:c>
      <x:c r="K132" s="66"/>
      <x:c r="L132" s="66"/>
      <x:c r="M132" s="66"/>
      <x:c r="N132" s="66"/>
      <x:c r="O132" s="66"/>
      <x:c r="P132" s="66"/>
      <x:c r="Q132" s="66"/>
      <x:c r="R132" s="66"/>
      <x:c r="S132" s="66"/>
      <x:c r="T132" s="66"/>
      <x:c r="U132" s="66"/>
      <x:c r="V132" s="66"/>
      <x:c r="W132" s="66"/>
      <x:c r="X132" s="66"/>
      <x:c r="Y132" s="66"/>
      <x:c r="Z132" s="66"/>
      <x:c r="AA132" s="66"/>
      <x:c r="AB132" s="66"/>
      <x:c r="AC132" s="66"/>
    </x:row>
    <x:row r="133">
      <x:c r="A133" s="56" t="n">
        <x:v>2</x:v>
      </x:c>
      <x:c r="B133" s="44" t="str">
        <x:v>сверхзвук</x:v>
      </x:c>
      <x:c r="C133" s="56" t="n">
        <x:v>1</x:v>
      </x:c>
      <x:c r="D133" s="57" t="n">
        <x:v>0.081026142105</x:v>
      </x:c>
      <x:c r="E133" s="57" t="n">
        <x:v>0.037634324374500004</x:v>
      </x:c>
      <x:c r="F133" s="57" t="n">
        <x:v>-0.0853655096365</x:v>
      </x:c>
      <x:c r="G133" s="57" t="n">
        <x:f>D133-D132</x:f>
        <x:v>0.047320091456</x:v>
      </x:c>
      <x:c r="H133" s="44" t="str">
        <x:v>interpolation M1.8-M2.2</x:v>
      </x:c>
      <x:c r="I133" s="44" t="str">
        <x:v>linear interpolation of stable full-model VSPAERO solutions M=1.8/2.2; GO incidence from VSP model</x:v>
      </x:c>
      <x:c r="J133" s="57" t="n">
        <x:v>0.03738040068949999</x:v>
      </x:c>
      <x:c r="K133" s="66"/>
      <x:c r="L133" s="66"/>
      <x:c r="M133" s="66"/>
      <x:c r="N133" s="66"/>
      <x:c r="O133" s="66"/>
      <x:c r="P133" s="66"/>
      <x:c r="Q133" s="66"/>
      <x:c r="R133" s="66"/>
      <x:c r="S133" s="66"/>
      <x:c r="T133" s="66"/>
      <x:c r="U133" s="66"/>
      <x:c r="V133" s="66"/>
      <x:c r="W133" s="66"/>
      <x:c r="X133" s="66"/>
      <x:c r="Y133" s="66"/>
      <x:c r="Z133" s="66"/>
      <x:c r="AA133" s="66"/>
      <x:c r="AB133" s="66"/>
      <x:c r="AC133" s="66"/>
    </x:row>
    <x:row r="134">
      <x:c r="A134" s="56" t="n">
        <x:v>2</x:v>
      </x:c>
      <x:c r="B134" s="44" t="str">
        <x:v>сверхзвук</x:v>
      </x:c>
      <x:c r="C134" s="56" t="n">
        <x:v>2</x:v>
      </x:c>
      <x:c r="D134" s="57" t="n">
        <x:v>0.1290288954615</x:v>
      </x:c>
      <x:c r="E134" s="57" t="n">
        <x:v>0.042027002172000005</x:v>
      </x:c>
      <x:c r="F134" s="57" t="n">
        <x:v>-0.14087953768</x:v>
      </x:c>
      <x:c r="G134" s="57" t="n">
        <x:f>D134-D133</x:f>
        <x:v>0.048002753356500005</x:v>
      </x:c>
      <x:c r="H134" s="44" t="str">
        <x:v>interpolation M1.8-M2.2</x:v>
      </x:c>
      <x:c r="I134" s="44" t="str">
        <x:v>linear interpolation of stable full-model VSPAERO solutions M=1.8/2.2; GO incidence from VSP model</x:v>
      </x:c>
      <x:c r="J134" s="57" t="n">
        <x:v>0.03738040068949999</x:v>
      </x:c>
      <x:c r="K134" s="66"/>
      <x:c r="L134" s="66"/>
      <x:c r="M134" s="66"/>
      <x:c r="N134" s="66"/>
      <x:c r="O134" s="66"/>
      <x:c r="P134" s="66"/>
      <x:c r="Q134" s="66"/>
      <x:c r="R134" s="66"/>
      <x:c r="S134" s="66"/>
      <x:c r="T134" s="66"/>
      <x:c r="U134" s="66"/>
      <x:c r="V134" s="66"/>
      <x:c r="W134" s="66"/>
      <x:c r="X134" s="66"/>
      <x:c r="Y134" s="66"/>
      <x:c r="Z134" s="66"/>
      <x:c r="AA134" s="66"/>
      <x:c r="AB134" s="66"/>
      <x:c r="AC134" s="66"/>
    </x:row>
    <x:row r="135">
      <x:c r="A135" s="56" t="n">
        <x:v>2</x:v>
      </x:c>
      <x:c r="B135" s="44" t="str">
        <x:v>сверхзвук</x:v>
      </x:c>
      <x:c r="C135" s="56" t="n">
        <x:v>3</x:v>
      </x:c>
      <x:c r="D135" s="57" t="n">
        <x:v>0.17706815759600003</x:v>
      </x:c>
      <x:c r="E135" s="57" t="n">
        <x:v>0.0487432653785</x:v>
      </x:c>
      <x:c r="F135" s="57" t="n">
        <x:v>-0.19745664845</x:v>
      </x:c>
      <x:c r="G135" s="57" t="n">
        <x:f>D135-D134</x:f>
        <x:v>0.04803926213450002</x:v>
      </x:c>
      <x:c r="H135" s="44" t="str">
        <x:v>interpolation M1.8-M2.2</x:v>
      </x:c>
      <x:c r="I135" s="44" t="str">
        <x:v>linear interpolation of stable full-model VSPAERO solutions M=1.8/2.2; GO incidence from VSP model</x:v>
      </x:c>
      <x:c r="J135" s="57" t="n">
        <x:v>0.03738040068949999</x:v>
      </x:c>
      <x:c r="K135" s="66"/>
      <x:c r="L135" s="66"/>
      <x:c r="M135" s="66"/>
      <x:c r="N135" s="66"/>
      <x:c r="O135" s="66"/>
      <x:c r="P135" s="66"/>
      <x:c r="Q135" s="66"/>
      <x:c r="R135" s="66"/>
      <x:c r="S135" s="66"/>
      <x:c r="T135" s="66"/>
      <x:c r="U135" s="66"/>
      <x:c r="V135" s="66"/>
      <x:c r="W135" s="66"/>
      <x:c r="X135" s="66"/>
      <x:c r="Y135" s="66"/>
      <x:c r="Z135" s="66"/>
      <x:c r="AA135" s="66"/>
      <x:c r="AB135" s="66"/>
      <x:c r="AC135" s="66"/>
    </x:row>
    <x:row r="136">
      <x:c r="A136" s="56" t="n">
        <x:v>2</x:v>
      </x:c>
      <x:c r="B136" s="44" t="str">
        <x:v>сверхзвук</x:v>
      </x:c>
      <x:c r="C136" s="56" t="n">
        <x:v>4</x:v>
      </x:c>
      <x:c r="D136" s="57" t="n">
        <x:v>0.22487985155750004</x:v>
      </x:c>
      <x:c r="E136" s="57" t="n">
        <x:v>0.057739085577</x:v>
      </x:c>
      <x:c r="F136" s="57" t="n">
        <x:v>-0.2547400044565</x:v>
      </x:c>
      <x:c r="G136" s="57" t="n">
        <x:f>D136-D135</x:f>
        <x:v>0.04781169396150001</x:v>
      </x:c>
      <x:c r="H136" s="44" t="str">
        <x:v>interpolation M1.8-M2.2</x:v>
      </x:c>
      <x:c r="I136" s="44" t="str">
        <x:v>linear interpolation of stable full-model VSPAERO solutions M=1.8/2.2; GO incidence from VSP model</x:v>
      </x:c>
      <x:c r="J136" s="57" t="n">
        <x:v>0.03738040068949999</x:v>
      </x:c>
      <x:c r="K136" s="66"/>
      <x:c r="L136" s="66"/>
      <x:c r="M136" s="66"/>
      <x:c r="N136" s="66"/>
      <x:c r="O136" s="66"/>
      <x:c r="P136" s="66"/>
      <x:c r="Q136" s="66"/>
      <x:c r="R136" s="66"/>
      <x:c r="S136" s="66"/>
      <x:c r="T136" s="66"/>
      <x:c r="U136" s="66"/>
      <x:c r="V136" s="66"/>
      <x:c r="W136" s="66"/>
      <x:c r="X136" s="66"/>
      <x:c r="Y136" s="66"/>
      <x:c r="Z136" s="66"/>
      <x:c r="AA136" s="66"/>
      <x:c r="AB136" s="66"/>
      <x:c r="AC136" s="66"/>
    </x:row>
    <x:row r="137">
      <x:c r="A137" s="56" t="n">
        <x:v>2</x:v>
      </x:c>
      <x:c r="B137" s="44" t="str">
        <x:v>сверхзвук</x:v>
      </x:c>
      <x:c r="C137" s="56" t="n">
        <x:v>5</x:v>
      </x:c>
      <x:c r="D137" s="57" t="n">
        <x:v>0.2722767818675</x:v>
      </x:c>
      <x:c r="E137" s="57" t="n">
        <x:v>0.06900498986100001</x:v>
      </x:c>
      <x:c r="F137" s="57" t="n">
        <x:v>-0.312538785491</x:v>
      </x:c>
      <x:c r="G137" s="57" t="n">
        <x:f>D137-D136</x:f>
        <x:v>0.047396930309999946</x:v>
      </x:c>
      <x:c r="H137" s="44" t="str">
        <x:v>interpolation M1.8-M2.2</x:v>
      </x:c>
      <x:c r="I137" s="44" t="str">
        <x:v>linear interpolation of stable full-model VSPAERO solutions M=1.8/2.2; GO incidence from VSP model</x:v>
      </x:c>
      <x:c r="J137" s="57" t="n">
        <x:v>0.03738040068949999</x:v>
      </x:c>
      <x:c r="K137" s="66"/>
      <x:c r="L137" s="66"/>
      <x:c r="M137" s="66"/>
      <x:c r="N137" s="66"/>
      <x:c r="O137" s="66"/>
      <x:c r="P137" s="66"/>
      <x:c r="Q137" s="66"/>
      <x:c r="R137" s="66"/>
      <x:c r="S137" s="66"/>
      <x:c r="T137" s="66"/>
      <x:c r="U137" s="66"/>
      <x:c r="V137" s="66"/>
      <x:c r="W137" s="66"/>
      <x:c r="X137" s="66"/>
      <x:c r="Y137" s="66"/>
      <x:c r="Z137" s="66"/>
      <x:c r="AA137" s="66"/>
      <x:c r="AB137" s="66"/>
      <x:c r="AC137" s="66"/>
    </x:row>
    <x:row r="138">
      <x:c r="A138" s="56" t="n">
        <x:v>2.1</x:v>
      </x:c>
      <x:c r="B138" s="44" t="str">
        <x:v>сверхзвук</x:v>
      </x:c>
      <x:c r="C138" s="56" t="n">
        <x:v>0</x:v>
      </x:c>
      <x:c r="D138" s="57" t="n">
        <x:v>0.0316537282285</x:v>
      </x:c>
      <x:c r="E138" s="57" t="n">
        <x:v>0.03372176114975</x:v>
      </x:c>
      <x:c r="F138" s="57" t="n">
        <x:v>-0.0307249657475</x:v>
      </x:c>
      <x:c r="G138" s="57"/>
      <x:c r="H138" s="44" t="str">
        <x:v>interpolation M1.8-M2.2</x:v>
      </x:c>
      <x:c r="I138" s="44" t="str">
        <x:v>linear interpolation of stable full-model VSPAERO solutions M=1.8/2.2; GO incidence from VSP model</x:v>
      </x:c>
      <x:c r="J138" s="57" t="n">
        <x:v>0.03738040068949999</x:v>
      </x:c>
      <x:c r="K138" s="66"/>
      <x:c r="L138" s="66"/>
      <x:c r="M138" s="66"/>
      <x:c r="N138" s="66"/>
      <x:c r="O138" s="66"/>
      <x:c r="P138" s="66"/>
      <x:c r="Q138" s="66"/>
      <x:c r="R138" s="66"/>
      <x:c r="S138" s="66"/>
      <x:c r="T138" s="66"/>
      <x:c r="U138" s="66"/>
      <x:c r="V138" s="66"/>
      <x:c r="W138" s="66"/>
      <x:c r="X138" s="66"/>
      <x:c r="Y138" s="66"/>
      <x:c r="Z138" s="66"/>
      <x:c r="AA138" s="66"/>
      <x:c r="AB138" s="66"/>
      <x:c r="AC138" s="66"/>
    </x:row>
    <x:row r="139">
      <x:c r="A139" s="56" t="n">
        <x:v>2.1</x:v>
      </x:c>
      <x:c r="B139" s="44" t="str">
        <x:v>сверхзвук</x:v>
      </x:c>
      <x:c r="C139" s="56" t="n">
        <x:v>1</x:v>
      </x:c>
      <x:c r="D139" s="57" t="n">
        <x:v>0.07625939575349999</x:v>
      </x:c>
      <x:c r="E139" s="57" t="n">
        <x:v>0.03578981185925</x:v>
      </x:c>
      <x:c r="F139" s="57" t="n">
        <x:v>-0.08087231416175</x:v>
      </x:c>
      <x:c r="G139" s="57" t="n">
        <x:f>D139-D138</x:f>
        <x:v>0.04460566752499999</x:v>
      </x:c>
      <x:c r="H139" s="44" t="str">
        <x:v>interpolation M1.8-M2.2</x:v>
      </x:c>
      <x:c r="I139" s="44" t="str">
        <x:v>linear interpolation of stable full-model VSPAERO solutions M=1.8/2.2; GO incidence from VSP model</x:v>
      </x:c>
      <x:c r="J139" s="57" t="n">
        <x:v>0.03738040068949999</x:v>
      </x:c>
      <x:c r="K139" s="66"/>
      <x:c r="L139" s="66"/>
      <x:c r="M139" s="66"/>
      <x:c r="N139" s="66"/>
      <x:c r="O139" s="66"/>
      <x:c r="P139" s="66"/>
      <x:c r="Q139" s="66"/>
      <x:c r="R139" s="66"/>
      <x:c r="S139" s="66"/>
      <x:c r="T139" s="66"/>
      <x:c r="U139" s="66"/>
      <x:c r="V139" s="66"/>
      <x:c r="W139" s="66"/>
      <x:c r="X139" s="66"/>
      <x:c r="Y139" s="66"/>
      <x:c r="Z139" s="66"/>
      <x:c r="AA139" s="66"/>
      <x:c r="AB139" s="66"/>
      <x:c r="AC139" s="66"/>
    </x:row>
    <x:row r="140">
      <x:c r="A140" s="56" t="n">
        <x:v>2.1</x:v>
      </x:c>
      <x:c r="B140" s="44" t="str">
        <x:v>сверхзвук</x:v>
      </x:c>
      <x:c r="C140" s="56" t="n">
        <x:v>2</x:v>
      </x:c>
      <x:c r="D140" s="57" t="n">
        <x:v>0.12121157039525</x:v>
      </x:c>
      <x:c r="E140" s="57" t="n">
        <x:v>0.0401885091655</x:v>
      </x:c>
      <x:c r="F140" s="57" t="n">
        <x:v>-0.132559420881</x:v>
      </x:c>
      <x:c r="G140" s="57" t="n">
        <x:f>D140-D139</x:f>
        <x:v>0.04495217464175001</x:v>
      </x:c>
      <x:c r="H140" s="44" t="str">
        <x:v>interpolation M1.8-M2.2</x:v>
      </x:c>
      <x:c r="I140" s="44" t="str">
        <x:v>linear interpolation of stable full-model VSPAERO solutions M=1.8/2.2; GO incidence from VSP model</x:v>
      </x:c>
      <x:c r="J140" s="57" t="n">
        <x:v>0.03738040068949999</x:v>
      </x:c>
      <x:c r="K140" s="66"/>
      <x:c r="L140" s="66"/>
      <x:c r="M140" s="66"/>
      <x:c r="N140" s="66"/>
      <x:c r="O140" s="66"/>
      <x:c r="P140" s="66"/>
      <x:c r="Q140" s="66"/>
      <x:c r="R140" s="66"/>
      <x:c r="S140" s="66"/>
      <x:c r="T140" s="66"/>
      <x:c r="U140" s="66"/>
      <x:c r="V140" s="66"/>
      <x:c r="W140" s="66"/>
      <x:c r="X140" s="66"/>
      <x:c r="Y140" s="66"/>
      <x:c r="Z140" s="66"/>
      <x:c r="AA140" s="66"/>
      <x:c r="AB140" s="66"/>
      <x:c r="AC140" s="66"/>
    </x:row>
    <x:row r="141">
      <x:c r="A141" s="56" t="n">
        <x:v>2.1</x:v>
      </x:c>
      <x:c r="B141" s="44" t="str">
        <x:v>сверхзвук</x:v>
      </x:c>
      <x:c r="C141" s="56" t="n">
        <x:v>3</x:v>
      </x:c>
      <x:c r="D141" s="57" t="n">
        <x:v>0.16587995986450002</x:v>
      </x:c>
      <x:c r="E141" s="57" t="n">
        <x:v>0.04685245316675</x:v>
      </x:c>
      <x:c r="F141" s="57" t="n">
        <x:v>-0.1846778350115</x:v>
      </x:c>
      <x:c r="G141" s="57" t="n">
        <x:f>D141-D140</x:f>
        <x:v>0.04466838946925002</x:v>
      </x:c>
      <x:c r="H141" s="44" t="str">
        <x:v>interpolation M1.8-M2.2</x:v>
      </x:c>
      <x:c r="I141" s="44" t="str">
        <x:v>linear interpolation of stable full-model VSPAERO solutions M=1.8/2.2; GO incidence from VSP model</x:v>
      </x:c>
      <x:c r="J141" s="57" t="n">
        <x:v>0.03738040068949999</x:v>
      </x:c>
      <x:c r="K141" s="66"/>
      <x:c r="L141" s="66"/>
      <x:c r="M141" s="66"/>
      <x:c r="N141" s="66"/>
      <x:c r="O141" s="66"/>
      <x:c r="P141" s="66"/>
      <x:c r="Q141" s="66"/>
      <x:c r="R141" s="66"/>
      <x:c r="S141" s="66"/>
      <x:c r="T141" s="66"/>
      <x:c r="U141" s="66"/>
      <x:c r="V141" s="66"/>
      <x:c r="W141" s="66"/>
      <x:c r="X141" s="66"/>
      <x:c r="Y141" s="66"/>
      <x:c r="Z141" s="66"/>
      <x:c r="AA141" s="66"/>
      <x:c r="AB141" s="66"/>
      <x:c r="AC141" s="66"/>
    </x:row>
    <x:row r="142">
      <x:c r="A142" s="56" t="n">
        <x:v>2.1</x:v>
      </x:c>
      <x:c r="B142" s="44" t="str">
        <x:v>сверхзвук</x:v>
      </x:c>
      <x:c r="C142" s="56" t="n">
        <x:v>4</x:v>
      </x:c>
      <x:c r="D142" s="57" t="n">
        <x:v>0.21001585554325</x:v>
      </x:c>
      <x:c r="E142" s="57" t="n">
        <x:v>0.055744631962</x:v>
      </x:c>
      <x:c r="F142" s="57" t="n">
        <x:v>-0.23691152983675</x:v>
      </x:c>
      <x:c r="G142" s="57" t="n">
        <x:f>D142-D141</x:f>
        <x:v>0.04413589567874998</x:v>
      </x:c>
      <x:c r="H142" s="44" t="str">
        <x:v>interpolation M1.8-M2.2</x:v>
      </x:c>
      <x:c r="I142" s="44" t="str">
        <x:v>linear interpolation of stable full-model VSPAERO solutions M=1.8/2.2; GO incidence from VSP model</x:v>
      </x:c>
      <x:c r="J142" s="57" t="n">
        <x:v>0.03738040068949999</x:v>
      </x:c>
      <x:c r="K142" s="66"/>
      <x:c r="L142" s="66"/>
      <x:c r="M142" s="66"/>
      <x:c r="N142" s="66"/>
      <x:c r="O142" s="66"/>
      <x:c r="P142" s="66"/>
      <x:c r="Q142" s="66"/>
      <x:c r="R142" s="66"/>
      <x:c r="S142" s="66"/>
      <x:c r="T142" s="66"/>
      <x:c r="U142" s="66"/>
      <x:c r="V142" s="66"/>
      <x:c r="W142" s="66"/>
      <x:c r="X142" s="66"/>
      <x:c r="Y142" s="66"/>
      <x:c r="Z142" s="66"/>
      <x:c r="AA142" s="66"/>
      <x:c r="AB142" s="66"/>
      <x:c r="AC142" s="66"/>
    </x:row>
    <x:row r="143">
      <x:c r="A143" s="56" t="n">
        <x:v>2.1</x:v>
      </x:c>
      <x:c r="B143" s="44" t="str">
        <x:v>сверхзвук</x:v>
      </x:c>
      <x:c r="C143" s="56" t="n">
        <x:v>5</x:v>
      </x:c>
      <x:c r="D143" s="57" t="n">
        <x:v>0.25358658152275</x:v>
      </x:c>
      <x:c r="E143" s="57" t="n">
        <x:v>0.06683773883</x:v>
      </x:c>
      <x:c r="F143" s="57" t="n">
        <x:v>-0.2894449404235</x:v>
      </x:c>
      <x:c r="G143" s="57" t="n">
        <x:f>D143-D142</x:f>
        <x:v>0.043570725979499986</x:v>
      </x:c>
      <x:c r="H143" s="44" t="str">
        <x:v>interpolation M1.8-M2.2</x:v>
      </x:c>
      <x:c r="I143" s="44" t="str">
        <x:v>linear interpolation of stable full-model VSPAERO solutions M=1.8/2.2; GO incidence from VSP model</x:v>
      </x:c>
      <x:c r="J143" s="57" t="n">
        <x:v>0.03738040068949999</x:v>
      </x:c>
      <x:c r="K143" s="66"/>
      <x:c r="L143" s="66"/>
      <x:c r="M143" s="66"/>
      <x:c r="N143" s="66"/>
      <x:c r="O143" s="66"/>
      <x:c r="P143" s="66"/>
      <x:c r="Q143" s="66"/>
      <x:c r="R143" s="66"/>
      <x:c r="S143" s="66"/>
      <x:c r="T143" s="66"/>
      <x:c r="U143" s="66"/>
      <x:c r="V143" s="66"/>
      <x:c r="W143" s="66"/>
      <x:c r="X143" s="66"/>
      <x:c r="Y143" s="66"/>
      <x:c r="Z143" s="66"/>
      <x:c r="AA143" s="66"/>
      <x:c r="AB143" s="66"/>
      <x:c r="AC143" s="66"/>
    </x:row>
    <x:row r="144">
      <x:c r="A144" s="53" t="n">
        <x:v>2.2</x:v>
      </x:c>
      <x:c r="B144" s="66" t="str">
        <x:v>сверхзвук</x:v>
      </x:c>
      <x:c r="C144" s="53" t="n">
        <x:v>0</x:v>
      </x:c>
      <x:c r="D144" s="42" t="n">
        <x:v>0.029601405808</x:v>
      </x:c>
      <x:c r="E144" s="42" t="n">
        <x:v>0.031846108839</x:v>
      </x:c>
      <x:c r="F144" s="42" t="n">
        <x:v>-0.02939408876</x:v>
      </x:c>
      <x:c r="G144" s="42"/>
      <x:c r="H144" s="66" t="str">
        <x:v>direct VSPAERO</x:v>
      </x:c>
      <x:c r="I144" s="66" t="str">
        <x:v>direct VSPAERO full corrected closed model; GO incidence from VSP model</x:v>
      </x:c>
      <x:c r="J144" s="42" t="n">
        <x:v>0</x:v>
      </x:c>
      <x:c r="K144" s="66"/>
      <x:c r="L144" s="66"/>
      <x:c r="M144" s="66"/>
      <x:c r="N144" s="66"/>
      <x:c r="O144" s="66"/>
      <x:c r="P144" s="66"/>
      <x:c r="Q144" s="66"/>
      <x:c r="R144" s="66"/>
      <x:c r="S144" s="66"/>
      <x:c r="T144" s="66"/>
      <x:c r="U144" s="66"/>
      <x:c r="V144" s="66"/>
      <x:c r="W144" s="66"/>
      <x:c r="X144" s="66"/>
      <x:c r="Y144" s="66"/>
      <x:c r="Z144" s="66"/>
      <x:c r="AA144" s="66"/>
      <x:c r="AB144" s="66"/>
      <x:c r="AC144" s="66"/>
    </x:row>
    <x:row r="145">
      <x:c r="A145" s="53" t="n">
        <x:v>2.2</x:v>
      </x:c>
      <x:c r="B145" s="66" t="str">
        <x:v>сверхзвук</x:v>
      </x:c>
      <x:c r="C145" s="53" t="n">
        <x:v>1</x:v>
      </x:c>
      <x:c r="D145" s="42" t="n">
        <x:v>0.071492649402</x:v>
      </x:c>
      <x:c r="E145" s="42" t="n">
        <x:v>0.033945299344</x:v>
      </x:c>
      <x:c r="F145" s="42" t="n">
        <x:v>-0.076379118687</x:v>
      </x:c>
      <x:c r="G145" s="42" t="n">
        <x:f>D145-D144</x:f>
        <x:v>0.041891243594</x:v>
      </x:c>
      <x:c r="H145" s="66" t="str">
        <x:v>direct VSPAERO</x:v>
      </x:c>
      <x:c r="I145" s="66" t="str">
        <x:v>direct VSPAERO full corrected closed model; GO incidence from VSP model</x:v>
      </x:c>
      <x:c r="J145" s="42" t="n">
        <x:v>0</x:v>
      </x:c>
      <x:c r="K145" s="66"/>
      <x:c r="L145" s="66"/>
      <x:c r="M145" s="66"/>
      <x:c r="N145" s="66"/>
      <x:c r="O145" s="66"/>
      <x:c r="P145" s="66"/>
      <x:c r="Q145" s="66"/>
      <x:c r="R145" s="66"/>
      <x:c r="S145" s="66"/>
      <x:c r="T145" s="66"/>
      <x:c r="U145" s="66"/>
      <x:c r="V145" s="66"/>
      <x:c r="W145" s="66"/>
      <x:c r="X145" s="66"/>
      <x:c r="Y145" s="66"/>
      <x:c r="Z145" s="66"/>
      <x:c r="AA145" s="66"/>
      <x:c r="AB145" s="66"/>
      <x:c r="AC145" s="66"/>
    </x:row>
    <x:row r="146">
      <x:c r="A146" s="53" t="n">
        <x:v>2.2</x:v>
      </x:c>
      <x:c r="B146" s="66" t="str">
        <x:v>сверхзвук</x:v>
      </x:c>
      <x:c r="C146" s="53" t="n">
        <x:v>2</x:v>
      </x:c>
      <x:c r="D146" s="42" t="n">
        <x:v>0.113394245329</x:v>
      </x:c>
      <x:c r="E146" s="42" t="n">
        <x:v>0.038350016159</x:v>
      </x:c>
      <x:c r="F146" s="42" t="n">
        <x:v>-0.124239304082</x:v>
      </x:c>
      <x:c r="G146" s="42" t="n">
        <x:f>D146-D145</x:f>
        <x:v>0.041901595927000004</x:v>
      </x:c>
      <x:c r="H146" s="66" t="str">
        <x:v>direct VSPAERO</x:v>
      </x:c>
      <x:c r="I146" s="66" t="str">
        <x:v>direct VSPAERO full corrected closed model; GO incidence from VSP model</x:v>
      </x:c>
      <x:c r="J146" s="42" t="n">
        <x:v>0</x:v>
      </x:c>
      <x:c r="K146" s="66"/>
      <x:c r="L146" s="66"/>
      <x:c r="M146" s="66"/>
      <x:c r="N146" s="66"/>
      <x:c r="O146" s="66"/>
      <x:c r="P146" s="66"/>
      <x:c r="Q146" s="66"/>
      <x:c r="R146" s="66"/>
      <x:c r="S146" s="66"/>
      <x:c r="T146" s="66"/>
      <x:c r="U146" s="66"/>
      <x:c r="V146" s="66"/>
      <x:c r="W146" s="66"/>
      <x:c r="X146" s="66"/>
      <x:c r="Y146" s="66"/>
      <x:c r="Z146" s="66"/>
      <x:c r="AA146" s="66"/>
      <x:c r="AB146" s="66"/>
      <x:c r="AC146" s="66"/>
    </x:row>
    <x:row r="147">
      <x:c r="A147" s="53" t="n">
        <x:v>2.2</x:v>
      </x:c>
      <x:c r="B147" s="66" t="str">
        <x:v>сверхзвук</x:v>
      </x:c>
      <x:c r="C147" s="53" t="n">
        <x:v>3</x:v>
      </x:c>
      <x:c r="D147" s="42" t="n">
        <x:v>0.154691762133</x:v>
      </x:c>
      <x:c r="E147" s="42" t="n">
        <x:v>0.044961640955</x:v>
      </x:c>
      <x:c r="F147" s="42" t="n">
        <x:v>-0.171899021573</x:v>
      </x:c>
      <x:c r="G147" s="42" t="n">
        <x:f>D147-D146</x:f>
        <x:v>0.04129751680400001</x:v>
      </x:c>
      <x:c r="H147" s="66" t="str">
        <x:v>direct VSPAERO</x:v>
      </x:c>
      <x:c r="I147" s="66" t="str">
        <x:v>direct VSPAERO full corrected closed model; GO incidence from VSP model</x:v>
      </x:c>
      <x:c r="J147" s="42" t="n">
        <x:v>0</x:v>
      </x:c>
      <x:c r="K147" s="66"/>
      <x:c r="L147" s="66"/>
      <x:c r="M147" s="66"/>
      <x:c r="N147" s="66"/>
      <x:c r="O147" s="66"/>
      <x:c r="P147" s="66"/>
      <x:c r="Q147" s="66"/>
      <x:c r="R147" s="66"/>
      <x:c r="S147" s="66"/>
      <x:c r="T147" s="66"/>
      <x:c r="U147" s="66"/>
      <x:c r="V147" s="66"/>
      <x:c r="W147" s="66"/>
      <x:c r="X147" s="66"/>
      <x:c r="Y147" s="66"/>
      <x:c r="Z147" s="66"/>
      <x:c r="AA147" s="66"/>
      <x:c r="AB147" s="66"/>
      <x:c r="AC147" s="66"/>
    </x:row>
    <x:row r="148">
      <x:c r="A148" s="53" t="n">
        <x:v>2.2</x:v>
      </x:c>
      <x:c r="B148" s="66" t="str">
        <x:v>сверхзвук</x:v>
      </x:c>
      <x:c r="C148" s="53" t="n">
        <x:v>4</x:v>
      </x:c>
      <x:c r="D148" s="42" t="n">
        <x:v>0.195151859529</x:v>
      </x:c>
      <x:c r="E148" s="42" t="n">
        <x:v>0.053750178347</x:v>
      </x:c>
      <x:c r="F148" s="42" t="n">
        <x:v>-0.219083055217</x:v>
      </x:c>
      <x:c r="G148" s="42" t="n">
        <x:f>D148-D147</x:f>
        <x:v>0.04046009739599998</x:v>
      </x:c>
      <x:c r="H148" s="66" t="str">
        <x:v>direct VSPAERO</x:v>
      </x:c>
      <x:c r="I148" s="66" t="str">
        <x:v>direct VSPAERO full corrected closed model; GO incidence from VSP model</x:v>
      </x:c>
      <x:c r="J148" s="42" t="n">
        <x:v>0</x:v>
      </x:c>
      <x:c r="K148" s="66"/>
      <x:c r="L148" s="66"/>
      <x:c r="M148" s="66"/>
      <x:c r="N148" s="66"/>
      <x:c r="O148" s="66"/>
      <x:c r="P148" s="66"/>
      <x:c r="Q148" s="66"/>
      <x:c r="R148" s="66"/>
      <x:c r="S148" s="66"/>
      <x:c r="T148" s="66"/>
      <x:c r="U148" s="66"/>
      <x:c r="V148" s="66"/>
      <x:c r="W148" s="66"/>
      <x:c r="X148" s="66"/>
      <x:c r="Y148" s="66"/>
      <x:c r="Z148" s="66"/>
      <x:c r="AA148" s="66"/>
      <x:c r="AB148" s="66"/>
      <x:c r="AC148" s="66"/>
    </x:row>
    <x:row r="149">
      <x:c r="A149" s="71" t="n">
        <x:v>2.2</x:v>
      </x:c>
      <x:c r="B149" s="69" t="str">
        <x:v>сверхзвук</x:v>
      </x:c>
      <x:c r="C149" s="71" t="n">
        <x:v>5</x:v>
      </x:c>
      <x:c r="D149" s="72" t="n">
        <x:v>0.234896381178</x:v>
      </x:c>
      <x:c r="E149" s="72" t="n">
        <x:v>0.064670487799</x:v>
      </x:c>
      <x:c r="F149" s="72" t="n">
        <x:v>-0.266351095356</x:v>
      </x:c>
      <x:c r="G149" s="72" t="n">
        <x:f>D149-D148</x:f>
        <x:v>0.039744521649</x:v>
      </x:c>
      <x:c r="H149" s="69" t="str">
        <x:v>direct VSPAERO</x:v>
      </x:c>
      <x:c r="I149" s="69" t="str">
        <x:v>direct VSPAERO full corrected closed model; GO incidence from VSP model</x:v>
      </x:c>
      <x:c r="J149" s="72" t="n">
        <x:v>0</x:v>
      </x:c>
      <x:c r="K149" s="69"/>
      <x:c r="L149" s="69"/>
      <x:c r="M149" s="69"/>
      <x:c r="N149" s="69"/>
      <x:c r="O149" s="69"/>
      <x:c r="P149" s="69"/>
      <x:c r="Q149" s="69"/>
      <x:c r="R149" s="69"/>
      <x:c r="S149" s="69"/>
      <x:c r="T149" s="69"/>
      <x:c r="U149" s="69"/>
      <x:c r="V149" s="69"/>
      <x:c r="W149" s="69"/>
      <x:c r="X149" s="69"/>
      <x:c r="Y149" s="69"/>
      <x:c r="Z149" s="69"/>
      <x:c r="AA149" s="69"/>
      <x:c r="AB149" s="69"/>
      <x:c r="AC149" s="69"/>
    </x:row>
  </x:sheetData>
  <x:mergeCells>
    <x:mergeCell ref="A1:AC2"/>
    <x:mergeCell ref="A3:AC3"/>
    <x:mergeCell ref="N50:AC53"/>
  </x:mergeCells>
  <x:pageMargins left="0.7" right="0.7" top="0.75" bottom="0.75" header="0.3" footer="0.3"/>
  <x:drawing xmlns:r="http://schemas.openxmlformats.org/officeDocument/2006/relationships" r:id="R5bc11a9a494c4477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23" hidden="0" customWidth="1"/>
    <x:col min="8" max="8" width="15" hidden="0" customWidth="1"/>
    <x:col min="9" max="9" width="18" hidden="0" customWidth="1"/>
    <x:col min="10" max="10" width="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3" hidden="0" customWidth="1"/>
    <x:col min="16" max="16" width="13" hidden="0" customWidth="1"/>
    <x:col min="17" max="17" width="13" hidden="0" customWidth="1"/>
  </x:cols>
  <x:sheetData>
    <x:row r="1">
      <x:c r="A1" s="3" t="str">
        <x:v>Лучший дозвуковой расчёт Cx0 — полуэмпирическая ветвь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66"/>
    </x:row>
    <x:row r="2">
      <x:c r="A2" s="3"/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66"/>
    </x:row>
    <x:row r="3">
      <x:c r="A3" s="6" t="str">
        <x:v>Отдельная серия: невязкое давление VSPAERO дополнено профильным трением, сопротивлением Fuselage/Gondola, щелей и конструктивных элементов. Показана медиана диапазона неопределённости.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6"/>
    </x:row>
    <x:row r="4">
      <x:c r="A4" s="66"/>
      <x:c r="B4" s="66"/>
      <x:c r="C4" s="66"/>
      <x:c r="D4" s="66"/>
      <x:c r="E4" s="66"/>
      <x:c r="F4" s="66"/>
      <x:c r="G4" s="66"/>
      <x:c r="H4" s="66"/>
      <x:c r="I4" s="66"/>
      <x:c r="J4" s="66"/>
      <x:c r="K4" s="66"/>
      <x:c r="L4" s="66"/>
      <x:c r="M4" s="66"/>
      <x:c r="N4" s="66"/>
      <x:c r="O4" s="66"/>
      <x:c r="P4" s="66"/>
      <x:c r="Q4" s="66"/>
    </x:row>
    <x:row r="5">
      <x:c r="A5" s="36" t="str">
        <x:v>Диапазон книги</x:v>
      </x:c>
      <x:c r="B5" s="36" t="str">
        <x:v>Средняя |ошибка|</x:v>
      </x:c>
      <x:c r="C5" s="36" t="str">
        <x:v>Макс. |ошибка|</x:v>
      </x:c>
      <x:c r="D5" s="36" t="str">
        <x:v>Cx0 при M=0,8</x:v>
      </x:c>
      <x:c r="E5" s="36" t="str">
        <x:v>Книга при M=0,8</x:v>
      </x:c>
      <x:c r="F5" s="36" t="str">
        <x:v>Ошибка M=0,8</x:v>
      </x:c>
      <x:c r="G5" s="36" t="str">
        <x:v>Источник давления</x:v>
      </x:c>
      <x:c r="H5" s="36" t="str">
        <x:v>Вариант A</x:v>
      </x:c>
      <x:c r="I5" s="66"/>
      <x:c r="J5" s="66"/>
      <x:c r="K5" s="66"/>
      <x:c r="L5" s="66"/>
      <x:c r="M5" s="66"/>
      <x:c r="N5" s="66"/>
      <x:c r="O5" s="66"/>
      <x:c r="P5" s="66"/>
      <x:c r="Q5" s="66"/>
    </x:row>
    <x:row r="6">
      <x:c r="A6" s="66" t="str">
        <x:v>M=0,30…0,80</x:v>
      </x:c>
      <x:c r="B6" s="16" t="n">
        <x:f>AVERAGE(F14:F19)</x:f>
        <x:v>0.11630434189539292</x:v>
      </x:c>
      <x:c r="C6" s="16" t="n">
        <x:f>MAX(F14:F19)</x:f>
        <x:v>0.16304712436243954</x:v>
      </x:c>
      <x:c r="D6" s="42" t="n">
        <x:v>0.021854163008820125</x:v>
      </x:c>
      <x:c r="E6" s="42" t="n">
        <x:v>0.023</x:v>
      </x:c>
      <x:c r="F6" s="48" t="n">
        <x:f>ABS((D6-E6)/E6)</x:f>
        <x:v>0.049818999616516306</x:v>
      </x:c>
      <x:c r="G6" s="66" t="str">
        <x:v>VSPAERO pressure fit</x:v>
      </x:c>
      <x:c r="H6" s="66" t="str">
        <x:v>book_slope</x:v>
      </x:c>
      <x:c r="I6" s="66"/>
      <x:c r="J6" s="66"/>
      <x:c r="K6" s="66"/>
      <x:c r="L6" s="66"/>
      <x:c r="M6" s="66"/>
      <x:c r="N6" s="66"/>
      <x:c r="O6" s="66"/>
      <x:c r="P6" s="66"/>
      <x:c r="Q6" s="66"/>
    </x:row>
    <x:row r="7">
      <x:c r="A7" s="66"/>
      <x:c r="B7" s="66"/>
      <x:c r="C7" s="66"/>
      <x:c r="D7" s="66"/>
      <x:c r="E7" s="66"/>
      <x:c r="F7" s="66"/>
      <x:c r="G7" s="66"/>
      <x:c r="H7" s="66"/>
      <x:c r="I7" s="66"/>
      <x:c r="J7" s="66"/>
      <x:c r="K7" s="66"/>
      <x:c r="L7" s="66"/>
      <x:c r="M7" s="66"/>
      <x:c r="N7" s="66"/>
      <x:c r="O7" s="66"/>
      <x:c r="P7" s="66"/>
      <x:c r="Q7" s="66"/>
    </x:row>
    <x:row r="8">
      <x:c r="A8" s="66"/>
      <x:c r="B8" s="66"/>
      <x:c r="C8" s="66"/>
      <x:c r="D8" s="66"/>
      <x:c r="E8" s="66"/>
      <x:c r="F8" s="66"/>
      <x:c r="G8" s="66"/>
      <x:c r="H8" s="66"/>
      <x:c r="I8" s="66"/>
      <x:c r="J8" s="66"/>
      <x:c r="K8" s="66"/>
      <x:c r="L8" s="66"/>
      <x:c r="M8" s="66"/>
      <x:c r="N8" s="66"/>
      <x:c r="O8" s="66"/>
      <x:c r="P8" s="66"/>
      <x:c r="Q8" s="66"/>
    </x:row>
    <x:row r="9">
      <x:c r="A9" s="66"/>
      <x:c r="B9" s="66"/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  <x:c r="Q9" s="66"/>
    </x:row>
    <x:row r="10">
      <x:c r="A10" s="36" t="str">
        <x:v>M</x:v>
      </x:c>
      <x:c r="B10" s="36" t="str">
        <x:v>Cx0 полуэмп.</x:v>
      </x:c>
      <x:c r="C10" s="36" t="str">
        <x:v>Cx0 VSPAERO raw</x:v>
      </x:c>
      <x:c r="D10" s="36" t="str">
        <x:v>Книга δнос=0°</x:v>
      </x:c>
      <x:c r="E10" s="36" t="str">
        <x:v>Ошибка</x:v>
      </x:c>
      <x:c r="F10" s="36" t="str">
        <x:v>|Ошибка|</x:v>
      </x:c>
      <x:c r="G10" s="36" t="str">
        <x:v>Минимум</x:v>
      </x:c>
      <x:c r="H10" s="36" t="str">
        <x:v>Максимум</x:v>
      </x:c>
      <x:c r="I10" s="36" t="str">
        <x:v>Статус</x:v>
      </x:c>
      <x:c r="J10" s="66"/>
      <x:c r="K10" s="66" t="str">
        <x:v>M</x:v>
      </x:c>
      <x:c r="L10" s="66" t="str">
        <x:v>Полуэмпирика</x:v>
      </x:c>
      <x:c r="M10" s="66" t="str">
        <x:v>VSPAERO raw</x:v>
      </x:c>
      <x:c r="N10" s="66" t="str">
        <x:v>Книга</x:v>
      </x:c>
      <x:c r="O10" s="66"/>
      <x:c r="P10" s="66" t="str">
        <x:v>M</x:v>
      </x:c>
      <x:c r="Q10" s="66" t="str">
        <x:v>|Ошибка|, %</x:v>
      </x:c>
    </x:row>
    <x:row r="11">
      <x:c r="A11" s="53" t="n">
        <x:v>0</x:v>
      </x:c>
      <x:c r="B11" s="42" t="n">
        <x:v>0.020013316138377816</x:v>
      </x:c>
      <x:c r="C11" s="42" t="n">
        <x:v>0.008390330957</x:v>
      </x:c>
      <x:c r="D11" s="42"/>
      <x:c r="E11" s="16" t="str">
        <x:f>IF(D11="","",(B11-D11)/D11)</x:f>
      </x:c>
      <x:c r="F11" s="16" t="str">
        <x:f>IF(E11="","",ABS(E11))</x:f>
      </x:c>
      <x:c r="G11" s="42" t="n">
        <x:v>0.019361716138377817</x:v>
      </x:c>
      <x:c r="H11" s="42" t="n">
        <x:v>0.020671036660675136</x:v>
      </x:c>
      <x:c r="I11" s="66" t="str">
        <x:v>Нет книжной точки</x:v>
      </x:c>
      <x:c r="J11" s="66"/>
      <x:c r="K11" s="66" t="n">
        <x:v>0</x:v>
      </x:c>
      <x:c r="L11" s="66" t="n">
        <x:v>0.020013316138377816</x:v>
      </x:c>
      <x:c r="M11" s="66" t="n">
        <x:v>0.008390330957</x:v>
      </x:c>
      <x:c r="N11" s="66"/>
      <x:c r="O11" s="66"/>
      <x:c r="P11" s="66" t="n">
        <x:v>0</x:v>
      </x:c>
      <x:c r="Q11" s="66"/>
    </x:row>
    <x:row r="12">
      <x:c r="A12" s="53" t="n">
        <x:v>0.1</x:v>
      </x:c>
      <x:c r="B12" s="42" t="n">
        <x:v>0.020003597497862527</x:v>
      </x:c>
      <x:c r="C12" s="42" t="n">
        <x:v>0.008405200132</x:v>
      </x:c>
      <x:c r="D12" s="42"/>
      <x:c r="E12" s="16" t="str">
        <x:f>IF(D12="","",(B12-D12)/D12)</x:f>
      </x:c>
      <x:c r="F12" s="16" t="str">
        <x:f>IF(E12="","",ABS(E12))</x:f>
      </x:c>
      <x:c r="G12" s="42" t="n">
        <x:v>0.01935250149786253</x:v>
      </x:c>
      <x:c r="H12" s="42" t="n">
        <x:v>0.020660798718854102</x:v>
      </x:c>
      <x:c r="I12" s="66" t="str">
        <x:v>Нет книжной точки</x:v>
      </x:c>
      <x:c r="J12" s="66"/>
      <x:c r="K12" s="66" t="n">
        <x:v>0.1</x:v>
      </x:c>
      <x:c r="L12" s="66" t="n">
        <x:v>0.020003597497862527</x:v>
      </x:c>
      <x:c r="M12" s="66" t="n">
        <x:v>0.008405200132</x:v>
      </x:c>
      <x:c r="N12" s="66"/>
      <x:c r="O12" s="66"/>
      <x:c r="P12" s="66" t="n">
        <x:v>0.1</x:v>
      </x:c>
      <x:c r="Q12" s="66"/>
    </x:row>
    <x:row r="13">
      <x:c r="A13" s="53" t="n">
        <x:v>0.2</x:v>
      </x:c>
      <x:c r="B13" s="42" t="n">
        <x:v>0.02002754837208305</x:v>
      </x:c>
      <x:c r="C13" s="42" t="n">
        <x:v>0.0084574985</x:v>
      </x:c>
      <x:c r="D13" s="42"/>
      <x:c r="E13" s="16" t="str">
        <x:f>IF(D13="","",(B13-D13)/D13)</x:f>
      </x:c>
      <x:c r="F13" s="16" t="str">
        <x:f>IF(E13="","",ABS(E13))</x:f>
      </x:c>
      <x:c r="G13" s="42" t="n">
        <x:v>0.019376956372083053</x:v>
      </x:c>
      <x:c r="H13" s="42" t="n">
        <x:v>0.020684230291768885</x:v>
      </x:c>
      <x:c r="I13" s="66" t="str">
        <x:v>Нет книжной точки</x:v>
      </x:c>
      <x:c r="J13" s="66"/>
      <x:c r="K13" s="66" t="n">
        <x:v>0.2</x:v>
      </x:c>
      <x:c r="L13" s="66" t="n">
        <x:v>0.02002754837208305</x:v>
      </x:c>
      <x:c r="M13" s="66" t="n">
        <x:v>0.0084574985</x:v>
      </x:c>
      <x:c r="N13" s="66"/>
      <x:c r="O13" s="66"/>
      <x:c r="P13" s="66" t="n">
        <x:v>0.2</x:v>
      </x:c>
      <x:c r="Q13" s="66"/>
    </x:row>
    <x:row r="14">
      <x:c r="A14" s="53" t="n">
        <x:v>0.3</x:v>
      </x:c>
      <x:c r="B14" s="42" t="n">
        <x:v>0.02008686901530145</x:v>
      </x:c>
      <x:c r="C14" s="42" t="n">
        <x:v>0.008543040177</x:v>
      </x:c>
      <x:c r="D14" s="42" t="n">
        <x:v>0.024</x:v>
      </x:c>
      <x:c r="E14" s="16" t="n">
        <x:f>IF(D14="","",(B14-D14)/D14)</x:f>
        <x:v>-0.16304712436243954</x:v>
      </x:c>
      <x:c r="F14" s="46" t="n">
        <x:f>IF(E14="","",ABS(E14))</x:f>
        <x:v>0.16304712436243954</x:v>
      </x:c>
      <x:c r="G14" s="60" t="n">
        <x:v>0.01943678101530145</x:v>
      </x:c>
      <x:c r="H14" s="60" t="n">
        <x:v>0.020743031633681543</x:v>
      </x:c>
      <x:c r="I14" s="43" t="str">
        <x:v>&gt; 15%</x:v>
      </x:c>
      <x:c r="J14" s="66"/>
      <x:c r="K14" s="66" t="n">
        <x:v>0.3</x:v>
      </x:c>
      <x:c r="L14" s="66" t="n">
        <x:v>0.02008686901530145</x:v>
      </x:c>
      <x:c r="M14" s="66" t="n">
        <x:v>0.008543040177</x:v>
      </x:c>
      <x:c r="N14" s="66" t="n">
        <x:v>0.024</x:v>
      </x:c>
      <x:c r="O14" s="66"/>
      <x:c r="P14" s="66" t="n">
        <x:v>0.3</x:v>
      </x:c>
      <x:c r="Q14" s="66" t="n">
        <x:v>16.304712436243953</x:v>
      </x:c>
    </x:row>
    <x:row r="15">
      <x:c r="A15" s="53" t="n">
        <x:v>0.4</x:v>
      </x:c>
      <x:c r="B15" s="42" t="n">
        <x:v>0.02017797636140328</x:v>
      </x:c>
      <x:c r="C15" s="42" t="n">
        <x:v>0.008658770853</x:v>
      </x:c>
      <x:c r="D15" s="42" t="n">
        <x:v>0.02375</x:v>
      </x:c>
      <x:c r="E15" s="16" t="n">
        <x:f>IF(D15="","",(B15-D15)/D15)</x:f>
        <x:v>-0.15040099530933562</x:v>
      </x:c>
      <x:c r="F15" s="46" t="n">
        <x:f>IF(E15="","",ABS(E15))</x:f>
        <x:v>0.15040099530933562</x:v>
      </x:c>
      <x:c r="G15" s="60" t="n">
        <x:v>0.01952839236140328</x:v>
      </x:c>
      <x:c r="H15" s="60" t="n">
        <x:v>0.020833619678477626</x:v>
      </x:c>
      <x:c r="I15" s="43" t="str">
        <x:v>&gt; 15%</x:v>
      </x:c>
      <x:c r="J15" s="66"/>
      <x:c r="K15" s="66" t="n">
        <x:v>0.4</x:v>
      </x:c>
      <x:c r="L15" s="66" t="n">
        <x:v>0.02017797636140328</x:v>
      </x:c>
      <x:c r="M15" s="66" t="n">
        <x:v>0.008658770853</x:v>
      </x:c>
      <x:c r="N15" s="66" t="n">
        <x:v>0.02375</x:v>
      </x:c>
      <x:c r="O15" s="66"/>
      <x:c r="P15" s="66" t="n">
        <x:v>0.4</x:v>
      </x:c>
      <x:c r="Q15" s="66" t="n">
        <x:v>15.040099530933562</x:v>
      </x:c>
    </x:row>
    <x:row r="16">
      <x:c r="A16" s="53" t="n">
        <x:v>0.5</x:v>
      </x:c>
      <x:c r="B16" s="42" t="n">
        <x:v>0.02033975094799074</x:v>
      </x:c>
      <x:c r="C16" s="42" t="n">
        <x:v>0.008846798817</x:v>
      </x:c>
      <x:c r="D16" s="42" t="n">
        <x:v>0.0235</x:v>
      </x:c>
      <x:c r="E16" s="16" t="n">
        <x:f>IF(D16="","",(B16-D16)/D16)</x:f>
        <x:v>-0.13447868306422375</x:v>
      </x:c>
      <x:c r="F16" s="47" t="n">
        <x:f>IF(E16="","",ABS(E16))</x:f>
        <x:v>0.13447868306422375</x:v>
      </x:c>
      <x:c r="G16" s="57" t="n">
        <x:v>0.019690670947990742</x:v>
      </x:c>
      <x:c r="H16" s="57" t="n">
        <x:v>0.020994874963759347</x:v>
      </x:c>
      <x:c r="I16" s="44" t="str">
        <x:v>5–15%</x:v>
      </x:c>
      <x:c r="J16" s="66"/>
      <x:c r="K16" s="66" t="n">
        <x:v>0.5</x:v>
      </x:c>
      <x:c r="L16" s="66" t="n">
        <x:v>0.02033975094799074</x:v>
      </x:c>
      <x:c r="M16" s="66" t="n">
        <x:v>0.008846798817</x:v>
      </x:c>
      <x:c r="N16" s="66" t="n">
        <x:v>0.0235</x:v>
      </x:c>
      <x:c r="O16" s="66"/>
      <x:c r="P16" s="66" t="n">
        <x:v>0.5</x:v>
      </x:c>
      <x:c r="Q16" s="66" t="n">
        <x:v>13.447868306422375</x:v>
      </x:c>
    </x:row>
    <x:row r="17">
      <x:c r="A17" s="53" t="n">
        <x:v>0.6</x:v>
      </x:c>
      <x:c r="B17" s="42" t="n">
        <x:v>0.020598884266677126</x:v>
      </x:c>
      <x:c r="C17" s="42" t="n">
        <x:v>0.009136832198</x:v>
      </x:c>
      <x:c r="D17" s="42" t="n">
        <x:v>0.02325</x:v>
      </x:c>
      <x:c r="E17" s="16" t="n">
        <x:f>IF(D17="","",(B17-D17)/D17)</x:f>
        <x:v>-0.11402648315367199</x:v>
      </x:c>
      <x:c r="F17" s="47" t="n">
        <x:f>IF(E17="","",ABS(E17))</x:f>
        <x:v>0.11402648315367199</x:v>
      </x:c>
      <x:c r="G17" s="57" t="n">
        <x:v>0.019950308266677128</x:v>
      </x:c>
      <x:c r="H17" s="57" t="n">
        <x:v>0.02125348898113999</x:v>
      </x:c>
      <x:c r="I17" s="44" t="str">
        <x:v>5–15%</x:v>
      </x:c>
      <x:c r="J17" s="66"/>
      <x:c r="K17" s="66" t="n">
        <x:v>0.6</x:v>
      </x:c>
      <x:c r="L17" s="66" t="n">
        <x:v>0.020598884266677126</x:v>
      </x:c>
      <x:c r="M17" s="66" t="n">
        <x:v>0.009136832198</x:v>
      </x:c>
      <x:c r="N17" s="66" t="n">
        <x:v>0.02325</x:v>
      </x:c>
      <x:c r="O17" s="66"/>
      <x:c r="P17" s="66" t="n">
        <x:v>0.6</x:v>
      </x:c>
      <x:c r="Q17" s="66" t="n">
        <x:v>11.402648315367198</x:v>
      </x:c>
    </x:row>
    <x:row r="18">
      <x:c r="A18" s="53" t="n">
        <x:v>0.7</x:v>
      </x:c>
      <x:c r="B18" s="42" t="n">
        <x:v>0.021020763385078082</x:v>
      </x:c>
      <x:c r="C18" s="42" t="n">
        <x:v>0.009582135496</x:v>
      </x:c>
      <x:c r="D18" s="42" t="n">
        <x:v>0.023</x:v>
      </x:c>
      <x:c r="E18" s="16" t="n">
        <x:f>IF(D18="","",(B18-D18)/D18)</x:f>
        <x:v>-0.08605376586617033</x:v>
      </x:c>
      <x:c r="F18" s="47" t="n">
        <x:f>IF(E18="","",ABS(E18))</x:f>
        <x:v>0.08605376586617033</x:v>
      </x:c>
      <x:c r="G18" s="57" t="n">
        <x:v>0.020372691385078086</x:v>
      </x:c>
      <x:c r="H18" s="57" t="n">
        <x:v>0.0216748487982352</x:v>
      </x:c>
      <x:c r="I18" s="44" t="str">
        <x:v>5–15%</x:v>
      </x:c>
      <x:c r="J18" s="66"/>
      <x:c r="K18" s="66" t="n">
        <x:v>0.7</x:v>
      </x:c>
      <x:c r="L18" s="66" t="n">
        <x:v>0.021020763385078082</x:v>
      </x:c>
      <x:c r="M18" s="66" t="n">
        <x:v>0.009582135496</x:v>
      </x:c>
      <x:c r="N18" s="66" t="n">
        <x:v>0.023</x:v>
      </x:c>
      <x:c r="O18" s="66"/>
      <x:c r="P18" s="66" t="n">
        <x:v>0.7</x:v>
      </x:c>
      <x:c r="Q18" s="66" t="n">
        <x:v>8.605376586617034</x:v>
      </x:c>
    </x:row>
    <x:row r="19">
      <x:c r="A19" s="53" t="n">
        <x:v>0.8</x:v>
      </x:c>
      <x:c r="B19" s="42" t="n">
        <x:v>0.021854163008820125</x:v>
      </x:c>
      <x:c r="C19" s="42" t="n">
        <x:v>0.010403439816</x:v>
      </x:c>
      <x:c r="D19" s="42" t="n">
        <x:v>0.023</x:v>
      </x:c>
      <x:c r="E19" s="16" t="n">
        <x:f>IF(D19="","",(B19-D19)/D19)</x:f>
        <x:v>-0.049818999616516306</x:v>
      </x:c>
      <x:c r="F19" s="48" t="n">
        <x:f>IF(E19="","",ABS(E19))</x:f>
        <x:v>0.049818999616516306</x:v>
      </x:c>
      <x:c r="G19" s="61" t="n">
        <x:v>0.02120659500882013</x:v>
      </x:c>
      <x:c r="H19" s="61" t="n">
        <x:v>0.0225077291206715</x:v>
      </x:c>
      <x:c r="I19" s="28" t="str">
        <x:v>≤ 5%</x:v>
      </x:c>
      <x:c r="J19" s="66"/>
      <x:c r="K19" s="66" t="n">
        <x:v>0.8</x:v>
      </x:c>
      <x:c r="L19" s="66" t="n">
        <x:v>0.021854163008820125</x:v>
      </x:c>
      <x:c r="M19" s="66" t="n">
        <x:v>0.010403439816</x:v>
      </x:c>
      <x:c r="N19" s="66" t="n">
        <x:v>0.023</x:v>
      </x:c>
      <x:c r="O19" s="66"/>
      <x:c r="P19" s="66" t="n">
        <x:v>0.8</x:v>
      </x:c>
      <x:c r="Q19" s="66" t="n">
        <x:v>4.981899961651631</x:v>
      </x:c>
    </x:row>
    <x:row r="20">
      <x:c r="A20" s="66"/>
      <x:c r="B20" s="66"/>
      <x:c r="C20" s="66"/>
      <x:c r="D20" s="66"/>
      <x:c r="E20" s="66"/>
      <x:c r="F20" s="66"/>
      <x:c r="G20" s="66"/>
      <x:c r="H20" s="66"/>
      <x:c r="I20" s="66"/>
      <x:c r="J20" s="66"/>
      <x:c r="K20" s="66"/>
      <x:c r="L20" s="66"/>
      <x:c r="M20" s="66"/>
      <x:c r="N20" s="66"/>
      <x:c r="O20" s="66"/>
      <x:c r="P20" s="66"/>
      <x:c r="Q20" s="66"/>
    </x:row>
    <x:row r="21">
      <x:c r="A21" s="66"/>
      <x:c r="B21" s="66"/>
      <x:c r="C21" s="66"/>
      <x:c r="D21" s="66"/>
      <x:c r="E21" s="66"/>
      <x:c r="F21" s="66"/>
      <x:c r="G21" s="66"/>
      <x:c r="H21" s="66"/>
      <x:c r="I21" s="66"/>
      <x:c r="J21" s="66"/>
      <x:c r="K21" s="66"/>
      <x:c r="L21" s="66"/>
      <x:c r="M21" s="66"/>
      <x:c r="N21" s="66"/>
      <x:c r="O21" s="66"/>
      <x:c r="P21" s="66"/>
      <x:c r="Q21" s="66"/>
    </x:row>
    <x:row r="22">
      <x:c r="A22" s="66"/>
      <x:c r="B22" s="66"/>
      <x:c r="C22" s="66"/>
      <x:c r="D22" s="66"/>
      <x:c r="E22" s="66"/>
      <x:c r="F22" s="66"/>
      <x:c r="G22" s="66"/>
      <x:c r="H22" s="66"/>
      <x:c r="I22" s="66"/>
      <x:c r="J22" s="66"/>
      <x:c r="K22" s="66"/>
      <x:c r="L22" s="66"/>
      <x:c r="M22" s="66"/>
      <x:c r="N22" s="66"/>
      <x:c r="O22" s="66"/>
      <x:c r="P22" s="66"/>
      <x:c r="Q22" s="66"/>
    </x:row>
    <x:row r="23">
      <x:c r="A23" s="66"/>
      <x:c r="B23" s="66"/>
      <x:c r="C23" s="66"/>
      <x:c r="D23" s="66"/>
      <x:c r="E23" s="66"/>
      <x:c r="F23" s="66"/>
      <x:c r="G23" s="66"/>
      <x:c r="H23" s="66"/>
      <x:c r="I23" s="66"/>
      <x:c r="J23" s="66"/>
      <x:c r="K23" s="66"/>
      <x:c r="L23" s="66"/>
      <x:c r="M23" s="66"/>
      <x:c r="N23" s="66"/>
      <x:c r="O23" s="66"/>
      <x:c r="P23" s="66"/>
      <x:c r="Q23" s="66"/>
    </x:row>
    <x:row r="24">
      <x:c r="A24" s="66"/>
      <x:c r="B24" s="66"/>
      <x:c r="C24" s="66"/>
      <x:c r="D24" s="66"/>
      <x:c r="E24" s="66"/>
      <x:c r="F24" s="66"/>
      <x:c r="G24" s="66"/>
      <x:c r="H24" s="66"/>
      <x:c r="I24" s="66"/>
      <x:c r="J24" s="66"/>
      <x:c r="K24" s="66"/>
      <x:c r="L24" s="66"/>
      <x:c r="M24" s="66"/>
      <x:c r="N24" s="66"/>
      <x:c r="O24" s="66"/>
      <x:c r="P24" s="66"/>
      <x:c r="Q24" s="66"/>
    </x:row>
    <x:row r="25">
      <x:c r="A25" s="66"/>
      <x:c r="B25" s="66"/>
      <x:c r="C25" s="66"/>
      <x:c r="D25" s="66"/>
      <x:c r="E25" s="66"/>
      <x:c r="F25" s="66"/>
      <x:c r="G25" s="66"/>
      <x:c r="H25" s="66"/>
      <x:c r="I25" s="66"/>
      <x:c r="J25" s="66"/>
      <x:c r="K25" s="66"/>
      <x:c r="L25" s="66"/>
      <x:c r="M25" s="66"/>
      <x:c r="N25" s="66"/>
      <x:c r="O25" s="66"/>
      <x:c r="P25" s="66"/>
      <x:c r="Q25" s="66"/>
    </x:row>
    <x:row r="26">
      <x:c r="A26" s="66"/>
      <x:c r="B26" s="66"/>
      <x:c r="C26" s="66"/>
      <x:c r="D26" s="66"/>
      <x:c r="E26" s="66"/>
      <x:c r="F26" s="66"/>
      <x:c r="G26" s="66"/>
      <x:c r="H26" s="66"/>
      <x:c r="I26" s="66"/>
      <x:c r="J26" s="66"/>
      <x:c r="K26" s="66"/>
      <x:c r="L26" s="66"/>
      <x:c r="M26" s="66"/>
      <x:c r="N26" s="66"/>
      <x:c r="O26" s="66"/>
      <x:c r="P26" s="66"/>
      <x:c r="Q26" s="66"/>
    </x:row>
    <x:row r="27">
      <x:c r="A27" s="66"/>
      <x:c r="B27" s="66"/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  <x:c r="Q27" s="66"/>
    </x:row>
    <x:row r="28">
      <x:c r="A28" s="66"/>
      <x:c r="B28" s="66"/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  <x:c r="Q28" s="66"/>
    </x:row>
    <x:row r="29">
      <x:c r="A29" s="66"/>
      <x:c r="B29" s="66"/>
      <x:c r="C29" s="66"/>
      <x:c r="D29" s="66"/>
      <x:c r="E29" s="66"/>
      <x:c r="F29" s="66"/>
      <x:c r="G29" s="66"/>
      <x:c r="H29" s="66"/>
      <x:c r="I29" s="66"/>
      <x:c r="J29" s="66"/>
      <x:c r="K29" s="66"/>
      <x:c r="L29" s="66"/>
      <x:c r="M29" s="66"/>
      <x:c r="N29" s="66"/>
      <x:c r="O29" s="66"/>
      <x:c r="P29" s="66"/>
      <x:c r="Q29" s="66"/>
    </x:row>
    <x:row r="30">
      <x:c r="A30" s="66"/>
      <x:c r="B30" s="66"/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  <x:c r="Q30" s="66"/>
    </x:row>
    <x:row r="31">
      <x:c r="A31" s="66"/>
      <x:c r="B31" s="66"/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  <x:c r="Q31" s="66"/>
    </x:row>
    <x:row r="32">
      <x:c r="A32" s="66"/>
      <x:c r="B32" s="66"/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  <x:c r="Q32" s="66"/>
    </x:row>
    <x:row r="33">
      <x:c r="A33" s="66"/>
      <x:c r="B33" s="66"/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  <x:c r="Q33" s="66"/>
    </x:row>
    <x:row r="34">
      <x:c r="A34" s="66"/>
      <x:c r="B34" s="66"/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  <x:c r="Q34" s="66"/>
    </x:row>
    <x:row r="35">
      <x:c r="A35" s="66"/>
      <x:c r="B35" s="66"/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  <x:c r="Q35" s="66"/>
    </x:row>
    <x:row r="36">
      <x:c r="A36" s="66"/>
      <x:c r="B36" s="66"/>
      <x:c r="C36" s="66"/>
      <x:c r="D36" s="66"/>
      <x:c r="E36" s="66"/>
      <x:c r="F36" s="66"/>
      <x:c r="G36" s="66"/>
      <x:c r="H36" s="66"/>
      <x:c r="I36" s="66"/>
      <x:c r="J36" s="66"/>
      <x:c r="K36" s="66"/>
      <x:c r="L36" s="66"/>
      <x:c r="M36" s="66"/>
      <x:c r="N36" s="66"/>
      <x:c r="O36" s="66"/>
      <x:c r="P36" s="66"/>
      <x:c r="Q36" s="66"/>
    </x:row>
    <x:row r="37">
      <x:c r="A37" s="66"/>
      <x:c r="B37" s="66"/>
      <x:c r="C37" s="66"/>
      <x:c r="D37" s="66"/>
      <x:c r="E37" s="66"/>
      <x:c r="F37" s="66"/>
      <x:c r="G37" s="66"/>
      <x:c r="H37" s="66"/>
      <x:c r="I37" s="66"/>
      <x:c r="J37" s="66"/>
      <x:c r="K37" s="66"/>
      <x:c r="L37" s="66"/>
      <x:c r="M37" s="66"/>
      <x:c r="N37" s="66"/>
      <x:c r="O37" s="66"/>
      <x:c r="P37" s="66"/>
      <x:c r="Q37" s="66"/>
    </x:row>
    <x:row r="38">
      <x:c r="A38" s="66"/>
      <x:c r="B38" s="66"/>
      <x:c r="C38" s="66"/>
      <x:c r="D38" s="66"/>
      <x:c r="E38" s="66"/>
      <x:c r="F38" s="66"/>
      <x:c r="G38" s="66"/>
      <x:c r="H38" s="66"/>
      <x:c r="I38" s="66"/>
      <x:c r="J38" s="66"/>
      <x:c r="K38" s="66"/>
      <x:c r="L38" s="66"/>
      <x:c r="M38" s="66"/>
      <x:c r="N38" s="66"/>
      <x:c r="O38" s="66"/>
      <x:c r="P38" s="66"/>
      <x:c r="Q38" s="66"/>
    </x:row>
    <x:row r="39">
      <x:c r="A39" s="66"/>
      <x:c r="B39" s="66"/>
      <x:c r="C39" s="66"/>
      <x:c r="D39" s="66"/>
      <x:c r="E39" s="66"/>
      <x:c r="F39" s="66"/>
      <x:c r="G39" s="66"/>
      <x:c r="H39" s="66"/>
      <x:c r="I39" s="66"/>
      <x:c r="J39" s="66"/>
      <x:c r="K39" s="66"/>
      <x:c r="L39" s="66"/>
      <x:c r="M39" s="66"/>
      <x:c r="N39" s="66"/>
      <x:c r="O39" s="66"/>
      <x:c r="P39" s="66"/>
      <x:c r="Q39" s="66"/>
    </x:row>
    <x:row r="40">
      <x:c r="A40" s="66"/>
      <x:c r="B40" s="66"/>
      <x:c r="C40" s="66"/>
      <x:c r="D40" s="66"/>
      <x:c r="E40" s="66"/>
      <x:c r="F40" s="66"/>
      <x:c r="G40" s="66"/>
      <x:c r="H40" s="66"/>
      <x:c r="I40" s="66"/>
      <x:c r="J40" s="66"/>
      <x:c r="K40" s="66"/>
      <x:c r="L40" s="66"/>
      <x:c r="M40" s="66"/>
      <x:c r="N40" s="66"/>
      <x:c r="O40" s="66"/>
      <x:c r="P40" s="66"/>
      <x:c r="Q40" s="66"/>
    </x:row>
    <x:row r="41">
      <x:c r="A41" s="66"/>
      <x:c r="B41" s="66"/>
      <x:c r="C41" s="66"/>
      <x:c r="D41" s="66"/>
      <x:c r="E41" s="66"/>
      <x:c r="F41" s="66"/>
      <x:c r="G41" s="66"/>
      <x:c r="H41" s="66"/>
      <x:c r="I41" s="66"/>
      <x:c r="J41" s="66"/>
      <x:c r="K41" s="66"/>
      <x:c r="L41" s="66"/>
      <x:c r="M41" s="66"/>
      <x:c r="N41" s="66"/>
      <x:c r="O41" s="66"/>
      <x:c r="P41" s="66"/>
      <x:c r="Q41" s="66"/>
    </x:row>
    <x:row r="42">
      <x:c r="A42" s="66"/>
      <x:c r="B42" s="66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</x:row>
    <x:row r="43">
      <x:c r="A43" s="31" t="str">
        <x:v>Интерпретация: чистый VSPAERO систематически недобирает Cx0, потому что потенциальная модель не содержит полного вязкого и конструктивного сопротивления. Полуэмпирическая ветвь заметно восстанавливает уровень книжной кривой; на M=0,8 расхождение составляет около 5%.</x:v>
      </x:c>
      <x:c r="B43" s="31"/>
      <x:c r="C43" s="31"/>
      <x:c r="D43" s="31"/>
      <x:c r="E43" s="31"/>
      <x:c r="F43" s="31"/>
      <x:c r="G43" s="31"/>
      <x:c r="H43" s="31"/>
      <x:c r="I43" s="31"/>
      <x:c r="J43" s="31"/>
      <x:c r="K43" s="31"/>
      <x:c r="L43" s="31"/>
      <x:c r="M43" s="31"/>
      <x:c r="N43" s="31"/>
      <x:c r="O43" s="31"/>
      <x:c r="P43" s="31"/>
      <x:c r="Q43" s="66"/>
    </x:row>
    <x:row r="44">
      <x:c r="A44" s="31"/>
      <x:c r="B44" s="31"/>
      <x:c r="C44" s="31"/>
      <x:c r="D44" s="31"/>
      <x:c r="E44" s="31"/>
      <x:c r="F44" s="31"/>
      <x:c r="G44" s="31"/>
      <x:c r="H44" s="31"/>
      <x:c r="I44" s="31"/>
      <x:c r="J44" s="31"/>
      <x:c r="K44" s="31"/>
      <x:c r="L44" s="31"/>
      <x:c r="M44" s="31"/>
      <x:c r="N44" s="31"/>
      <x:c r="O44" s="31"/>
      <x:c r="P44" s="31"/>
      <x:c r="Q44" s="66"/>
    </x:row>
    <x:row r="45">
      <x:c r="A45" s="73"/>
      <x:c r="B45" s="73"/>
      <x:c r="C45" s="73"/>
      <x:c r="D45" s="73"/>
      <x:c r="E45" s="73"/>
      <x:c r="F45" s="73"/>
      <x:c r="G45" s="73"/>
      <x:c r="H45" s="73"/>
      <x:c r="I45" s="73"/>
      <x:c r="J45" s="73"/>
      <x:c r="K45" s="73"/>
      <x:c r="L45" s="73"/>
      <x:c r="M45" s="73"/>
      <x:c r="N45" s="73"/>
      <x:c r="O45" s="73"/>
      <x:c r="P45" s="73"/>
      <x:c r="Q45" s="69"/>
    </x:row>
  </x:sheetData>
  <x:mergeCells>
    <x:mergeCell ref="A1:P2"/>
    <x:mergeCell ref="A3:P3"/>
    <x:mergeCell ref="A43:P45"/>
  </x:mergeCells>
  <x:pageMargins left="0.7" right="0.7" top="0.75" bottom="0.75" header="0.3" footer="0.3"/>
  <x:drawing xmlns:r="http://schemas.openxmlformats.org/officeDocument/2006/relationships" r:id="Rcf5e48e0a1054f07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" hidden="0" customWidth="1"/>
    <x:col min="3" max="3" width="11" hidden="0" customWidth="1"/>
    <x:col min="4" max="4" width="18" hidden="0" customWidth="1"/>
    <x:col min="5" max="5" width="30" hidden="0" customWidth="1"/>
    <x:col min="6" max="6" width="10" hidden="0" customWidth="1"/>
    <x:col min="7" max="7" width="10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3" t="str">
        <x:v>Рейтинг единых конфигураций по всему диапазону M=1,10…1,55</x:v>
      </x:c>
      <x:c r="B1" s="3"/>
      <x:c r="C1" s="3"/>
      <x:c r="D1" s="3"/>
      <x:c r="E1" s="3"/>
      <x:c r="F1" s="3"/>
      <x:c r="G1" s="3"/>
      <x:c r="H1" s="3"/>
      <x:c r="I1" s="3"/>
      <x:c r="J1" s="66"/>
    </x:row>
    <x:row r="2">
      <x:c r="A2" s="66"/>
      <x:c r="B2" s="66"/>
      <x:c r="C2" s="66"/>
      <x:c r="D2" s="66"/>
      <x:c r="E2" s="66"/>
      <x:c r="F2" s="66"/>
      <x:c r="G2" s="66"/>
      <x:c r="H2" s="66"/>
      <x:c r="I2" s="66"/>
      <x:c r="J2" s="66"/>
    </x:row>
    <x:row r="3">
      <x:c r="A3" s="36" t="str">
        <x:v>Место</x:v>
      </x:c>
      <x:c r="B3" s="36" t="str">
        <x:v>Сетка</x:v>
      </x:c>
      <x:c r="C3" s="36" t="str">
        <x:v>Offset</x:v>
      </x:c>
      <x:c r="D3" s="36" t="str">
        <x:v>Правило давления</x:v>
      </x:c>
      <x:c r="E3" s="36" t="str">
        <x:v>Схема поправок</x:v>
      </x:c>
      <x:c r="F3" s="36" t="str">
        <x:v>Точек M</x:v>
      </x:c>
      <x:c r="G3" s="36" t="str">
        <x:v>Fallback</x:v>
      </x:c>
      <x:c r="H3" s="36" t="str">
        <x:v>Средняя |ошибка|</x:v>
      </x:c>
      <x:c r="I3" s="36" t="str">
        <x:v>Макс. |ошибка|</x:v>
      </x:c>
      <x:c r="J3" s="36" t="str">
        <x:v>Смещение</x:v>
      </x:c>
    </x:row>
    <x:row r="4">
      <x:c r="A4" s="28" t="n">
        <x:v>1</x:v>
      </x:c>
      <x:c r="B4" s="28" t="str">
        <x:v>7k</x:v>
      </x:c>
      <x:c r="C4" s="61" t="n">
        <x:v>0.00001</x:v>
      </x:c>
      <x:c r="D4" s="28" t="str">
        <x:v>isentropic</x:v>
      </x:c>
      <x:c r="E4" s="28" t="str">
        <x:v>P</x:v>
      </x:c>
      <x:c r="F4" s="28" t="n">
        <x:v>10</x:v>
      </x:c>
      <x:c r="G4" s="28" t="n">
        <x:v>0</x:v>
      </x:c>
      <x:c r="H4" s="48" t="n">
        <x:v>0.13364842275890776</x:v>
      </x:c>
      <x:c r="I4" s="48" t="n">
        <x:v>0.23656103169160797</x:v>
      </x:c>
      <x:c r="J4" s="48" t="n">
        <x:v>0.13364842275890776</x:v>
      </x:c>
    </x:row>
    <x:row r="5">
      <x:c r="A5" s="66" t="n">
        <x:v>2</x:v>
      </x:c>
      <x:c r="B5" s="66" t="str">
        <x:v>7k</x:v>
      </x:c>
      <x:c r="C5" s="42" t="n">
        <x:v>0.0001</x:v>
      </x:c>
      <x:c r="D5" s="66" t="str">
        <x:v>isentropic</x:v>
      </x:c>
      <x:c r="E5" s="66" t="str">
        <x:v>P</x:v>
      </x:c>
      <x:c r="F5" s="66" t="n">
        <x:v>10</x:v>
      </x:c>
      <x:c r="G5" s="66" t="n">
        <x:v>0</x:v>
      </x:c>
      <x:c r="H5" s="16" t="n">
        <x:v>0.1336733546905605</x:v>
      </x:c>
      <x:c r="I5" s="16" t="n">
        <x:v>0.2365953447427393</x:v>
      </x:c>
      <x:c r="J5" s="16" t="n">
        <x:v>0.1336733546905605</x:v>
      </x:c>
    </x:row>
    <x:row r="6">
      <x:c r="A6" s="66" t="n">
        <x:v>3</x:v>
      </x:c>
      <x:c r="B6" s="66" t="str">
        <x:v>7k</x:v>
      </x:c>
      <x:c r="C6" s="42" t="n">
        <x:v>0.00001</x:v>
      </x:c>
      <x:c r="D6" s="66" t="str">
        <x:v>isentropic</x:v>
      </x:c>
      <x:c r="E6" s="66" t="str">
        <x:v>P+Antenna</x:v>
      </x:c>
      <x:c r="F6" s="66" t="n">
        <x:v>10</x:v>
      </x:c>
      <x:c r="G6" s="66" t="n">
        <x:v>0</x:v>
      </x:c>
      <x:c r="H6" s="16" t="n">
        <x:v>0.13649700832871875</x:v>
      </x:c>
      <x:c r="I6" s="16" t="n">
        <x:v>0.23935826209450511</x:v>
      </x:c>
      <x:c r="J6" s="16" t="n">
        <x:v>0.13649700832871875</x:v>
      </x:c>
    </x:row>
    <x:row r="7">
      <x:c r="A7" s="66" t="n">
        <x:v>4</x:v>
      </x:c>
      <x:c r="B7" s="66" t="str">
        <x:v>7k</x:v>
      </x:c>
      <x:c r="C7" s="42" t="n">
        <x:v>0.0001</x:v>
      </x:c>
      <x:c r="D7" s="66" t="str">
        <x:v>isentropic</x:v>
      </x:c>
      <x:c r="E7" s="66" t="str">
        <x:v>P+Antenna</x:v>
      </x:c>
      <x:c r="F7" s="66" t="n">
        <x:v>10</x:v>
      </x:c>
      <x:c r="G7" s="66" t="n">
        <x:v>0</x:v>
      </x:c>
      <x:c r="H7" s="16" t="n">
        <x:v>0.13652194026037148</x:v>
      </x:c>
      <x:c r="I7" s="16" t="n">
        <x:v>0.23939257514563642</x:v>
      </x:c>
      <x:c r="J7" s="16" t="n">
        <x:v>0.13652194026037148</x:v>
      </x:c>
    </x:row>
    <x:row r="8">
      <x:c r="A8" s="66" t="n">
        <x:v>5</x:v>
      </x:c>
      <x:c r="B8" s="66" t="str">
        <x:v>7k</x:v>
      </x:c>
      <x:c r="C8" s="42" t="n">
        <x:v>0.00001</x:v>
      </x:c>
      <x:c r="D8" s="66" t="str">
        <x:v>isentropic</x:v>
      </x:c>
      <x:c r="E8" s="66" t="str">
        <x:v>P+GapLow</x:v>
      </x:c>
      <x:c r="F8" s="66" t="n">
        <x:v>10</x:v>
      </x:c>
      <x:c r="G8" s="66" t="n">
        <x:v>0</x:v>
      </x:c>
      <x:c r="H8" s="16" t="n">
        <x:v>0.1548642413210581</x:v>
      </x:c>
      <x:c r="I8" s="16" t="n">
        <x:v>0.25739436502494134</x:v>
      </x:c>
      <x:c r="J8" s="16" t="n">
        <x:v>0.1548642413210581</x:v>
      </x:c>
    </x:row>
    <x:row r="9">
      <x:c r="A9" s="66" t="n">
        <x:v>6</x:v>
      </x:c>
      <x:c r="B9" s="66" t="str">
        <x:v>7k</x:v>
      </x:c>
      <x:c r="C9" s="42" t="n">
        <x:v>0.0001</x:v>
      </x:c>
      <x:c r="D9" s="66" t="str">
        <x:v>isentropic</x:v>
      </x:c>
      <x:c r="E9" s="66" t="str">
        <x:v>P+GapLow</x:v>
      </x:c>
      <x:c r="F9" s="66" t="n">
        <x:v>10</x:v>
      </x:c>
      <x:c r="G9" s="66" t="n">
        <x:v>0</x:v>
      </x:c>
      <x:c r="H9" s="16" t="n">
        <x:v>0.1548891732527108</x:v>
      </x:c>
      <x:c r="I9" s="16" t="n">
        <x:v>0.25742867807607267</x:v>
      </x:c>
      <x:c r="J9" s="16" t="n">
        <x:v>0.1548891732527108</x:v>
      </x:c>
    </x:row>
    <x:row r="10">
      <x:c r="A10" s="66" t="n">
        <x:v>7</x:v>
      </x:c>
      <x:c r="B10" s="66" t="str">
        <x:v>7k</x:v>
      </x:c>
      <x:c r="C10" s="42" t="n">
        <x:v>0.00001</x:v>
      </x:c>
      <x:c r="D10" s="66" t="str">
        <x:v>isentropic</x:v>
      </x:c>
      <x:c r="E10" s="66" t="str">
        <x:v>P+GapNom</x:v>
      </x:c>
      <x:c r="F10" s="66" t="n">
        <x:v>10</x:v>
      </x:c>
      <x:c r="G10" s="66" t="n">
        <x:v>0</x:v>
      </x:c>
      <x:c r="H10" s="16" t="n">
        <x:v>0.16441135967402573</x:v>
      </x:c>
      <x:c r="I10" s="16" t="n">
        <x:v>0.26676936502494125</x:v>
      </x:c>
      <x:c r="J10" s="16" t="n">
        <x:v>0.16441135967402573</x:v>
      </x:c>
    </x:row>
    <x:row r="11">
      <x:c r="A11" s="66" t="n">
        <x:v>8</x:v>
      </x:c>
      <x:c r="B11" s="66" t="str">
        <x:v>7k</x:v>
      </x:c>
      <x:c r="C11" s="42" t="n">
        <x:v>0.0001</x:v>
      </x:c>
      <x:c r="D11" s="66" t="str">
        <x:v>isentropic</x:v>
      </x:c>
      <x:c r="E11" s="66" t="str">
        <x:v>P+GapNom</x:v>
      </x:c>
      <x:c r="F11" s="66" t="n">
        <x:v>10</x:v>
      </x:c>
      <x:c r="G11" s="66" t="n">
        <x:v>0</x:v>
      </x:c>
      <x:c r="H11" s="16" t="n">
        <x:v>0.16443629160567844</x:v>
      </x:c>
      <x:c r="I11" s="16" t="n">
        <x:v>0.26680367807607264</x:v>
      </x:c>
      <x:c r="J11" s="16" t="n">
        <x:v>0.16443629160567844</x:v>
      </x:c>
    </x:row>
    <x:row r="12">
      <x:c r="A12" s="66" t="n">
        <x:v>9</x:v>
      </x:c>
      <x:c r="B12" s="66" t="str">
        <x:v>7k</x:v>
      </x:c>
      <x:c r="C12" s="42" t="n">
        <x:v>0.00001</x:v>
      </x:c>
      <x:c r="D12" s="66" t="str">
        <x:v>isentropic</x:v>
      </x:c>
      <x:c r="E12" s="66" t="str">
        <x:v>P+GapNom+Antenna</x:v>
      </x:c>
      <x:c r="F12" s="66" t="n">
        <x:v>10</x:v>
      </x:c>
      <x:c r="G12" s="66" t="n">
        <x:v>0</x:v>
      </x:c>
      <x:c r="H12" s="16" t="n">
        <x:v>0.16725994524383672</x:v>
      </x:c>
      <x:c r="I12" s="16" t="n">
        <x:v>0.2695665954278384</x:v>
      </x:c>
      <x:c r="J12" s="16" t="n">
        <x:v>0.16725994524383672</x:v>
      </x:c>
    </x:row>
    <x:row r="13">
      <x:c r="A13" s="66" t="n">
        <x:v>10</x:v>
      </x:c>
      <x:c r="B13" s="66" t="str">
        <x:v>7k</x:v>
      </x:c>
      <x:c r="C13" s="42" t="n">
        <x:v>0.0001</x:v>
      </x:c>
      <x:c r="D13" s="66" t="str">
        <x:v>isentropic</x:v>
      </x:c>
      <x:c r="E13" s="66" t="str">
        <x:v>P+GapNom+Antenna</x:v>
      </x:c>
      <x:c r="F13" s="66" t="n">
        <x:v>10</x:v>
      </x:c>
      <x:c r="G13" s="66" t="n">
        <x:v>0</x:v>
      </x:c>
      <x:c r="H13" s="16" t="n">
        <x:v>0.16728487717548945</x:v>
      </x:c>
      <x:c r="I13" s="16" t="n">
        <x:v>0.2696009084789697</x:v>
      </x:c>
      <x:c r="J13" s="16" t="n">
        <x:v>0.16728487717548945</x:v>
      </x:c>
    </x:row>
    <x:row r="14">
      <x:c r="A14" s="66" t="n">
        <x:v>11</x:v>
      </x:c>
      <x:c r="B14" s="66" t="str">
        <x:v>21k</x:v>
      </x:c>
      <x:c r="C14" s="42" t="n">
        <x:v>0.00001</x:v>
      </x:c>
      <x:c r="D14" s="66" t="str">
        <x:v>slender-body</x:v>
      </x:c>
      <x:c r="E14" s="66" t="str">
        <x:v>P+Wing+Body</x:v>
      </x:c>
      <x:c r="F14" s="66" t="n">
        <x:v>10</x:v>
      </x:c>
      <x:c r="G14" s="66" t="n">
        <x:v>1</x:v>
      </x:c>
      <x:c r="H14" s="16" t="n">
        <x:v>0.18320892308704045</x:v>
      </x:c>
      <x:c r="I14" s="16" t="n">
        <x:v>0.3218624224859114</x:v>
      </x:c>
      <x:c r="J14" s="16" t="n">
        <x:v>0.06223222600011843</x:v>
      </x:c>
    </x:row>
    <x:row r="15">
      <x:c r="A15" s="66" t="n">
        <x:v>12</x:v>
      </x:c>
      <x:c r="B15" s="66" t="str">
        <x:v>21k</x:v>
      </x:c>
      <x:c r="C15" s="42" t="n">
        <x:v>0.00001</x:v>
      </x:c>
      <x:c r="D15" s="66" t="str">
        <x:v>slender-body</x:v>
      </x:c>
      <x:c r="E15" s="66" t="str">
        <x:v>P+Body</x:v>
      </x:c>
      <x:c r="F15" s="66" t="n">
        <x:v>10</x:v>
      </x:c>
      <x:c r="G15" s="66" t="n">
        <x:v>1</x:v>
      </x:c>
      <x:c r="H15" s="16" t="n">
        <x:v>0.18418107336847334</x:v>
      </x:c>
      <x:c r="I15" s="16" t="n">
        <x:v>0.3230324063569986</x:v>
      </x:c>
      <x:c r="J15" s="16" t="n">
        <x:v>-0.020914101500245356</x:v>
      </x:c>
    </x:row>
    <x:row r="16">
      <x:c r="A16" s="66" t="n">
        <x:v>13</x:v>
      </x:c>
      <x:c r="B16" s="66" t="str">
        <x:v>21k</x:v>
      </x:c>
      <x:c r="C16" s="42" t="n">
        <x:v>0.00001</x:v>
      </x:c>
      <x:c r="D16" s="66" t="str">
        <x:v>slender-body</x:v>
      </x:c>
      <x:c r="E16" s="66" t="str">
        <x:v>P+Wing+Body+GapNom</x:v>
      </x:c>
      <x:c r="F16" s="66" t="n">
        <x:v>10</x:v>
      </x:c>
      <x:c r="G16" s="66" t="n">
        <x:v>1</x:v>
      </x:c>
      <x:c r="H16" s="16" t="n">
        <x:v>0.18623493012719908</x:v>
      </x:c>
      <x:c r="I16" s="16" t="n">
        <x:v>0.35207075581924463</x:v>
      </x:c>
      <x:c r="J16" s="16" t="n">
        <x:v>0.09299516291523638</x:v>
      </x:c>
    </x:row>
    <x:row r="17">
      <x:c r="A17" s="66" t="n">
        <x:v>14</x:v>
      </x:c>
      <x:c r="B17" s="66" t="str">
        <x:v>21k</x:v>
      </x:c>
      <x:c r="C17" s="42" t="n">
        <x:v>0.00001</x:v>
      </x:c>
      <x:c r="D17" s="66" t="str">
        <x:v>slender-body</x:v>
      </x:c>
      <x:c r="E17" s="66" t="str">
        <x:v>P+Wing</x:v>
      </x:c>
      <x:c r="F17" s="66" t="n">
        <x:v>10</x:v>
      </x:c>
      <x:c r="G17" s="66" t="n">
        <x:v>1</x:v>
      </x:c>
      <x:c r="H17" s="16" t="n">
        <x:v>0.18649472142456747</x:v>
      </x:c>
      <x:c r="I17" s="16" t="n">
        <x:v>0.3620833142226267</x:v>
      </x:c>
      <x:c r="J17" s="16" t="n">
        <x:v>-0.05992660851898096</x:v>
      </x:c>
    </x:row>
    <x:row r="18">
      <x:c r="A18" s="66" t="n">
        <x:v>15</x:v>
      </x:c>
      <x:c r="B18" s="66" t="str">
        <x:v>21k</x:v>
      </x:c>
      <x:c r="C18" s="42" t="n">
        <x:v>0.00001</x:v>
      </x:c>
      <x:c r="D18" s="66" t="str">
        <x:v>slender-body</x:v>
      </x:c>
      <x:c r="E18" s="66" t="str">
        <x:v>P+Wing+Body+GapNom+Antenna</x:v>
      </x:c>
      <x:c r="F18" s="66" t="n">
        <x:v>10</x:v>
      </x:c>
      <x:c r="G18" s="66" t="n">
        <x:v>1</x:v>
      </x:c>
      <x:c r="H18" s="16" t="n">
        <x:v>0.18678257777968332</x:v>
      </x:c>
      <x:c r="I18" s="16" t="n">
        <x:v>0.3548679862221419</x:v>
      </x:c>
      <x:c r="J18" s="16" t="n">
        <x:v>0.09584374848504744</x:v>
      </x:c>
    </x:row>
    <x:row r="19">
      <x:c r="A19" s="66" t="n">
        <x:v>16</x:v>
      </x:c>
      <x:c r="B19" s="66" t="str">
        <x:v>21k</x:v>
      </x:c>
      <x:c r="C19" s="42" t="n">
        <x:v>0.00001</x:v>
      </x:c>
      <x:c r="D19" s="66" t="str">
        <x:v>slender-body</x:v>
      </x:c>
      <x:c r="E19" s="66" t="str">
        <x:v>P+GapNom+Antenna</x:v>
      </x:c>
      <x:c r="F19" s="66" t="n">
        <x:v>10</x:v>
      </x:c>
      <x:c r="G19" s="66" t="n">
        <x:v>1</x:v>
      </x:c>
      <x:c r="H19" s="16" t="n">
        <x:v>0.19680744732556907</x:v>
      </x:c>
      <x:c r="I19" s="16" t="n">
        <x:v>0.41160367466222114</x:v>
      </x:c>
      <x:c r="J19" s="16" t="n">
        <x:v>-0.10946141353441571</x:v>
      </x:c>
    </x:row>
    <x:row r="20">
      <x:c r="A20" s="66" t="n">
        <x:v>17</x:v>
      </x:c>
      <x:c r="B20" s="66" t="str">
        <x:v>21k</x:v>
      </x:c>
      <x:c r="C20" s="42" t="n">
        <x:v>0.00001</x:v>
      </x:c>
      <x:c r="D20" s="66" t="str">
        <x:v>slender-body</x:v>
      </x:c>
      <x:c r="E20" s="66" t="str">
        <x:v>P+GapNom</x:v>
      </x:c>
      <x:c r="F20" s="66" t="n">
        <x:v>10</x:v>
      </x:c>
      <x:c r="G20" s="66" t="n">
        <x:v>1</x:v>
      </x:c>
      <x:c r="H20" s="16" t="n">
        <x:v>0.19741531953599128</x:v>
      </x:c>
      <x:c r="I20" s="16" t="n">
        <x:v>0.41446042060560545</x:v>
      </x:c>
      <x:c r="J20" s="16" t="n">
        <x:v>-0.11230999910422672</x:v>
      </x:c>
    </x:row>
    <x:row r="21">
      <x:c r="A21" s="66" t="n">
        <x:v>18</x:v>
      </x:c>
      <x:c r="B21" s="66" t="str">
        <x:v>21k</x:v>
      </x:c>
      <x:c r="C21" s="42" t="n">
        <x:v>0.00001</x:v>
      </x:c>
      <x:c r="D21" s="66" t="str">
        <x:v>slender-body</x:v>
      </x:c>
      <x:c r="E21" s="66" t="str">
        <x:v>P+GapLow</x:v>
      </x:c>
      <x:c r="F21" s="66" t="n">
        <x:v>10</x:v>
      </x:c>
      <x:c r="G21" s="66" t="n">
        <x:v>1</x:v>
      </x:c>
      <x:c r="H21" s="16" t="n">
        <x:v>0.19945262113503223</x:v>
      </x:c>
      <x:c r="I21" s="16" t="n">
        <x:v>0.42403488869071176</x:v>
      </x:c>
      <x:c r="J21" s="16" t="n">
        <x:v>-0.12185711745719434</x:v>
      </x:c>
    </x:row>
    <x:row r="22">
      <x:c r="A22" s="66" t="n">
        <x:v>19</x:v>
      </x:c>
      <x:c r="B22" s="66" t="str">
        <x:v>21k</x:v>
      </x:c>
      <x:c r="C22" s="42" t="n">
        <x:v>0.00001</x:v>
      </x:c>
      <x:c r="D22" s="66" t="str">
        <x:v>slender-body</x:v>
      </x:c>
      <x:c r="E22" s="66" t="str">
        <x:v>P+Antenna</x:v>
      </x:c>
      <x:c r="F22" s="66" t="n">
        <x:v>10</x:v>
      </x:c>
      <x:c r="G22" s="66" t="n">
        <x:v>1</x:v>
      </x:c>
      <x:c r="H22" s="16" t="n">
        <x:v>0.20337208581136768</x:v>
      </x:c>
      <x:c r="I22" s="16" t="n">
        <x:v>0.44245473849200834</x:v>
      </x:c>
      <x:c r="J22" s="16" t="n">
        <x:v>-0.14022435044953369</x:v>
      </x:c>
    </x:row>
    <x:row r="23">
      <x:c r="A23" s="66" t="n">
        <x:v>20</x:v>
      </x:c>
      <x:c r="B23" s="66" t="str">
        <x:v>13k</x:v>
      </x:c>
      <x:c r="C23" s="42" t="n">
        <x:v>0.0001</x:v>
      </x:c>
      <x:c r="D23" s="66" t="str">
        <x:v>isentropic</x:v>
      </x:c>
      <x:c r="E23" s="66" t="str">
        <x:v>P+Wing+Body+GapNom+Antenna</x:v>
      </x:c>
      <x:c r="F23" s="66" t="n">
        <x:v>10</x:v>
      </x:c>
      <x:c r="G23" s="66" t="n">
        <x:v>0</x:v>
      </x:c>
      <x:c r="H23" s="16" t="n">
        <x:v>0.2035618821212574</x:v>
      </x:c>
      <x:c r="I23" s="16" t="n">
        <x:v>0.3263568910496458</x:v>
      </x:c>
      <x:c r="J23" s="16" t="n">
        <x:v>0.00391906000733641</x:v>
      </x:c>
    </x:row>
    <x:row r="24">
      <x:c r="A24" s="66" t="n">
        <x:v>21</x:v>
      </x:c>
      <x:c r="B24" s="66" t="str">
        <x:v>13k</x:v>
      </x:c>
      <x:c r="C24" s="42" t="n">
        <x:v>0.0001</x:v>
      </x:c>
      <x:c r="D24" s="66" t="str">
        <x:v>isentropic</x:v>
      </x:c>
      <x:c r="E24" s="66" t="str">
        <x:v>P+Wing+Body+GapNom</x:v>
      </x:c>
      <x:c r="F24" s="66" t="n">
        <x:v>10</x:v>
      </x:c>
      <x:c r="G24" s="66" t="n">
        <x:v>0</x:v>
      </x:c>
      <x:c r="H24" s="16" t="n">
        <x:v>0.20360441934498888</x:v>
      </x:c>
      <x:c r="I24" s="16" t="n">
        <x:v>0.3292136369930303</x:v>
      </x:c>
      <x:c r="J24" s="16" t="n">
        <x:v>0.0010704744375253572</x:v>
      </x:c>
    </x:row>
    <x:row r="25">
      <x:c r="A25" s="66" t="n">
        <x:v>22</x:v>
      </x:c>
      <x:c r="B25" s="66" t="str">
        <x:v>13k</x:v>
      </x:c>
      <x:c r="C25" s="42" t="n">
        <x:v>0.00001</x:v>
      </x:c>
      <x:c r="D25" s="66" t="str">
        <x:v>isentropic</x:v>
      </x:c>
      <x:c r="E25" s="66" t="str">
        <x:v>P+Wing+Body+GapNom+Antenna</x:v>
      </x:c>
      <x:c r="F25" s="66" t="n">
        <x:v>10</x:v>
      </x:c>
      <x:c r="G25" s="66" t="n">
        <x:v>0</x:v>
      </x:c>
      <x:c r="H25" s="16" t="n">
        <x:v>0.20362294573383818</x:v>
      </x:c>
      <x:c r="I25" s="16" t="n">
        <x:v>0.3262716954302743</x:v>
      </x:c>
      <x:c r="J25" s="16" t="n">
        <x:v>0.003944986523925229</x:v>
      </x:c>
    </x:row>
    <x:row r="26">
      <x:c r="A26" s="66" t="n">
        <x:v>23</x:v>
      </x:c>
      <x:c r="B26" s="66" t="str">
        <x:v>13k</x:v>
      </x:c>
      <x:c r="C26" s="42" t="n">
        <x:v>0.00001</x:v>
      </x:c>
      <x:c r="D26" s="66" t="str">
        <x:v>isentropic</x:v>
      </x:c>
      <x:c r="E26" s="66" t="str">
        <x:v>P+Wing+Body+GapNom</x:v>
      </x:c>
      <x:c r="F26" s="66" t="n">
        <x:v>10</x:v>
      </x:c>
      <x:c r="G26" s="66" t="n">
        <x:v>0</x:v>
      </x:c>
      <x:c r="H26" s="16" t="n">
        <x:v>0.20366548295756964</x:v>
      </x:c>
      <x:c r="I26" s="16" t="n">
        <x:v>0.3291284413736587</x:v>
      </x:c>
      <x:c r="J26" s="16" t="n">
        <x:v>0.0010964009541141488</x:v>
      </x:c>
    </x:row>
    <x:row r="27">
      <x:c r="A27" s="66" t="n">
        <x:v>24</x:v>
      </x:c>
      <x:c r="B27" s="66" t="str">
        <x:v>21k</x:v>
      </x:c>
      <x:c r="C27" s="42" t="n">
        <x:v>0.00001</x:v>
      </x:c>
      <x:c r="D27" s="66" t="str">
        <x:v>slender-body</x:v>
      </x:c>
      <x:c r="E27" s="66" t="str">
        <x:v>P</x:v>
      </x:c>
      <x:c r="F27" s="66" t="n">
        <x:v>10</x:v>
      </x:c>
      <x:c r="G27" s="66" t="n">
        <x:v>1</x:v>
      </x:c>
      <x:c r="H27" s="16" t="n">
        <x:v>0.2039799580217899</x:v>
      </x:c>
      <x:c r="I27" s="16" t="n">
        <x:v>0.4453114844353927</x:v>
      </x:c>
      <x:c r="J27" s="16" t="n">
        <x:v>-0.1430729360193447</x:v>
      </x:c>
    </x:row>
    <x:row r="28">
      <x:c r="A28" s="66" t="n">
        <x:v>25</x:v>
      </x:c>
      <x:c r="B28" s="66" t="str">
        <x:v>13k</x:v>
      </x:c>
      <x:c r="C28" s="42" t="n">
        <x:v>0.0001</x:v>
      </x:c>
      <x:c r="D28" s="66" t="str">
        <x:v>isentropic</x:v>
      </x:c>
      <x:c r="E28" s="66" t="str">
        <x:v>P+Wing+Body</x:v>
      </x:c>
      <x:c r="F28" s="66" t="n">
        <x:v>10</x:v>
      </x:c>
      <x:c r="G28" s="66" t="n">
        <x:v>0</x:v>
      </x:c>
      <x:c r="H28" s="16" t="n">
        <x:v>0.20406379467289273</x:v>
      </x:c>
      <x:c r="I28" s="16" t="n">
        <x:v>0.3600647008228175</x:v>
      </x:c>
      <x:c r="J28" s="16" t="n">
        <x:v>-0.029692462477592628</x:v>
      </x:c>
    </x:row>
    <x:row r="29">
      <x:c r="A29" s="66" t="n">
        <x:v>26</x:v>
      </x:c>
      <x:c r="B29" s="66" t="str">
        <x:v>13k</x:v>
      </x:c>
      <x:c r="C29" s="42" t="n">
        <x:v>0.00001</x:v>
      </x:c>
      <x:c r="D29" s="66" t="str">
        <x:v>isentropic</x:v>
      </x:c>
      <x:c r="E29" s="66" t="str">
        <x:v>P+Wing+Body</x:v>
      </x:c>
      <x:c r="F29" s="66" t="n">
        <x:v>10</x:v>
      </x:c>
      <x:c r="G29" s="66" t="n">
        <x:v>0</x:v>
      </x:c>
      <x:c r="H29" s="16" t="n">
        <x:v>0.20412485828547353</x:v>
      </x:c>
      <x:c r="I29" s="16" t="n">
        <x:v>0.3599795052034459</x:v>
      </x:c>
      <x:c r="J29" s="16" t="n">
        <x:v>-0.029666535961003798</x:v>
      </x:c>
    </x:row>
    <x:row r="30">
      <x:c r="A30" s="66" t="n">
        <x:v>27</x:v>
      </x:c>
      <x:c r="B30" s="66" t="str">
        <x:v>13k</x:v>
      </x:c>
      <x:c r="C30" s="42" t="n">
        <x:v>0.0001</x:v>
      </x:c>
      <x:c r="D30" s="66" t="str">
        <x:v>isentropic</x:v>
      </x:c>
      <x:c r="E30" s="66" t="str">
        <x:v>P+Body</x:v>
      </x:c>
      <x:c r="F30" s="66" t="n">
        <x:v>10</x:v>
      </x:c>
      <x:c r="G30" s="66" t="n">
        <x:v>0</x:v>
      </x:c>
      <x:c r="H30" s="16" t="n">
        <x:v>0.2115274603291034</x:v>
      </x:c>
      <x:c r="I30" s="16" t="n">
        <x:v>0.44329287103558335</x:v>
      </x:c>
      <x:c r="J30" s="16" t="n">
        <x:v>-0.11283878997795636</x:v>
      </x:c>
    </x:row>
    <x:row r="31">
      <x:c r="A31" s="66" t="n">
        <x:v>28</x:v>
      </x:c>
      <x:c r="B31" s="66" t="str">
        <x:v>13k</x:v>
      </x:c>
      <x:c r="C31" s="42" t="n">
        <x:v>0.00001</x:v>
      </x:c>
      <x:c r="D31" s="66" t="str">
        <x:v>isentropic</x:v>
      </x:c>
      <x:c r="E31" s="66" t="str">
        <x:v>P+Body</x:v>
      </x:c>
      <x:c r="F31" s="66" t="n">
        <x:v>10</x:v>
      </x:c>
      <x:c r="G31" s="66" t="n">
        <x:v>0</x:v>
      </x:c>
      <x:c r="H31" s="16" t="n">
        <x:v>0.21164140148632932</x:v>
      </x:c>
      <x:c r="I31" s="16" t="n">
        <x:v>0.4432076754162118</x:v>
      </x:c>
      <x:c r="J31" s="16" t="n">
        <x:v>-0.11281286346136757</x:v>
      </x:c>
    </x:row>
    <x:row r="32">
      <x:c r="A32" s="66" t="n">
        <x:v>29</x:v>
      </x:c>
      <x:c r="B32" s="66" t="str">
        <x:v>21k</x:v>
      </x:c>
      <x:c r="C32" s="42" t="n">
        <x:v>0.00001</x:v>
      </x:c>
      <x:c r="D32" s="66" t="str">
        <x:v>isentropic</x:v>
      </x:c>
      <x:c r="E32" s="66" t="str">
        <x:v>P+Wing+Body+GapNom+Antenna</x:v>
      </x:c>
      <x:c r="F32" s="66" t="n">
        <x:v>10</x:v>
      </x:c>
      <x:c r="G32" s="66" t="n">
        <x:v>2</x:v>
      </x:c>
      <x:c r="H32" s="16" t="n">
        <x:v>0.2135281425247721</x:v>
      </x:c>
      <x:c r="I32" s="16" t="n">
        <x:v>0.42177246309610295</x:v>
      </x:c>
      <x:c r="J32" s="16" t="n">
        <x:v>-0.13893739135414046</x:v>
      </x:c>
    </x:row>
    <x:row r="33">
      <x:c r="A33" s="66" t="n">
        <x:v>30</x:v>
      </x:c>
      <x:c r="B33" s="66" t="str">
        <x:v>21k</x:v>
      </x:c>
      <x:c r="C33" s="42" t="n">
        <x:v>0.00001</x:v>
      </x:c>
      <x:c r="D33" s="66" t="str">
        <x:v>isentropic</x:v>
      </x:c>
      <x:c r="E33" s="66" t="str">
        <x:v>P+Wing+Body+GapNom</x:v>
      </x:c>
      <x:c r="F33" s="66" t="n">
        <x:v>10</x:v>
      </x:c>
      <x:c r="G33" s="66" t="n">
        <x:v>2</x:v>
      </x:c>
      <x:c r="H33" s="16" t="n">
        <x:v>0.2146983898528449</x:v>
      </x:c>
      <x:c r="I33" s="16" t="n">
        <x:v>0.4246140939815859</x:v>
      </x:c>
      <x:c r="J33" s="16" t="n">
        <x:v>-0.14178597692395148</x:v>
      </x:c>
    </x:row>
    <x:row r="34">
      <x:c r="A34" s="66" t="n">
        <x:v>31</x:v>
      </x:c>
      <x:c r="B34" s="66" t="str">
        <x:v>7k</x:v>
      </x:c>
      <x:c r="C34" s="42" t="n">
        <x:v>0.00001</x:v>
      </x:c>
      <x:c r="D34" s="66" t="str">
        <x:v>isentropic</x:v>
      </x:c>
      <x:c r="E34" s="66" t="str">
        <x:v>P+Wing</x:v>
      </x:c>
      <x:c r="F34" s="66" t="n">
        <x:v>10</x:v>
      </x:c>
      <x:c r="G34" s="66" t="n">
        <x:v>0</x:v>
      </x:c>
      <x:c r="H34" s="16" t="n">
        <x:v>0.2167947502592715</x:v>
      </x:c>
      <x:c r="I34" s="16" t="n">
        <x:v>0.3184775316916078</x:v>
      </x:c>
      <x:c r="J34" s="16" t="n">
        <x:v>0.2167947502592715</x:v>
      </x:c>
    </x:row>
    <x:row r="35">
      <x:c r="A35" s="66" t="n">
        <x:v>32</x:v>
      </x:c>
      <x:c r="B35" s="66" t="str">
        <x:v>7k</x:v>
      </x:c>
      <x:c r="C35" s="42" t="n">
        <x:v>0.0001</x:v>
      </x:c>
      <x:c r="D35" s="66" t="str">
        <x:v>isentropic</x:v>
      </x:c>
      <x:c r="E35" s="66" t="str">
        <x:v>P+Wing</x:v>
      </x:c>
      <x:c r="F35" s="66" t="n">
        <x:v>10</x:v>
      </x:c>
      <x:c r="G35" s="66" t="n">
        <x:v>0</x:v>
      </x:c>
      <x:c r="H35" s="16" t="n">
        <x:v>0.21681968219092418</x:v>
      </x:c>
      <x:c r="I35" s="16" t="n">
        <x:v>0.3185118447427392</x:v>
      </x:c>
      <x:c r="J35" s="16" t="n">
        <x:v>0.21681968219092418</x:v>
      </x:c>
    </x:row>
    <x:row r="36">
      <x:c r="A36" s="66" t="n">
        <x:v>33</x:v>
      </x:c>
      <x:c r="B36" s="66" t="str">
        <x:v>13k</x:v>
      </x:c>
      <x:c r="C36" s="42" t="n">
        <x:v>0.0001</x:v>
      </x:c>
      <x:c r="D36" s="66" t="str">
        <x:v>isentropic</x:v>
      </x:c>
      <x:c r="E36" s="66" t="str">
        <x:v>P+Wing</x:v>
      </x:c>
      <x:c r="F36" s="66" t="n">
        <x:v>10</x:v>
      </x:c>
      <x:c r="G36" s="66" t="n">
        <x:v>0</x:v>
      </x:c>
      <x:c r="H36" s="16" t="n">
        <x:v>0.21973158594692346</x:v>
      </x:c>
      <x:c r="I36" s="16" t="n">
        <x:v>0.48234377890121166</x:v>
      </x:c>
      <x:c r="J36" s="16" t="n">
        <x:v>-0.15185129699669198</x:v>
      </x:c>
    </x:row>
    <x:row r="37">
      <x:c r="A37" s="66" t="n">
        <x:v>34</x:v>
      </x:c>
      <x:c r="B37" s="66" t="str">
        <x:v>13k</x:v>
      </x:c>
      <x:c r="C37" s="42" t="n">
        <x:v>0.00001</x:v>
      </x:c>
      <x:c r="D37" s="66" t="str">
        <x:v>isentropic</x:v>
      </x:c>
      <x:c r="E37" s="66" t="str">
        <x:v>P+Wing</x:v>
      </x:c>
      <x:c r="F37" s="66" t="n">
        <x:v>10</x:v>
      </x:c>
      <x:c r="G37" s="66" t="n">
        <x:v>0</x:v>
      </x:c>
      <x:c r="H37" s="16" t="n">
        <x:v>0.2198455271041494</x:v>
      </x:c>
      <x:c r="I37" s="16" t="n">
        <x:v>0.48225858328183996</x:v>
      </x:c>
      <x:c r="J37" s="16" t="n">
        <x:v>-0.15182537048010317</x:v>
      </x:c>
    </x:row>
    <x:row r="38">
      <x:c r="A38" s="66" t="n">
        <x:v>35</x:v>
      </x:c>
      <x:c r="B38" s="66" t="str">
        <x:v>21k</x:v>
      </x:c>
      <x:c r="C38" s="42" t="n">
        <x:v>0.00001</x:v>
      </x:c>
      <x:c r="D38" s="66" t="str">
        <x:v>isentropic</x:v>
      </x:c>
      <x:c r="E38" s="66" t="str">
        <x:v>P+Wing+Body</x:v>
      </x:c>
      <x:c r="F38" s="66" t="n">
        <x:v>10</x:v>
      </x:c>
      <x:c r="G38" s="66" t="n">
        <x:v>2</x:v>
      </x:c>
      <x:c r="H38" s="16" t="n">
        <x:v>0.22733632676796287</x:v>
      </x:c>
      <x:c r="I38" s="16" t="n">
        <x:v>0.45530192466941655</x:v>
      </x:c>
      <x:c r="J38" s="16" t="n">
        <x:v>-0.17254891383906956</x:v>
      </x:c>
    </x:row>
    <x:row r="39">
      <x:c r="A39" s="66" t="n">
        <x:v>36</x:v>
      </x:c>
      <x:c r="B39" s="66" t="str">
        <x:v>13k</x:v>
      </x:c>
      <x:c r="C39" s="42" t="n">
        <x:v>0.0001</x:v>
      </x:c>
      <x:c r="D39" s="66" t="str">
        <x:v>isentropic</x:v>
      </x:c>
      <x:c r="E39" s="66" t="str">
        <x:v>P+GapNom+Antenna</x:v>
      </x:c>
      <x:c r="F39" s="66" t="n">
        <x:v>10</x:v>
      </x:c>
      <x:c r="G39" s="66" t="n">
        <x:v>0</x:v>
      </x:c>
      <x:c r="H39" s="16" t="n">
        <x:v>0.2353585051881653</x:v>
      </x:c>
      <x:c r="I39" s="16" t="n">
        <x:v>0.531864139340806</x:v>
      </x:c>
      <x:c r="J39" s="16" t="n">
        <x:v>-0.2013861020121267</x:v>
      </x:c>
    </x:row>
    <x:row r="40">
      <x:c r="A40" s="66" t="n">
        <x:v>37</x:v>
      </x:c>
      <x:c r="B40" s="66" t="str">
        <x:v>13k</x:v>
      </x:c>
      <x:c r="C40" s="42" t="n">
        <x:v>0.00001</x:v>
      </x:c>
      <x:c r="D40" s="66" t="str">
        <x:v>isentropic</x:v>
      </x:c>
      <x:c r="E40" s="66" t="str">
        <x:v>P+GapNom+Antenna</x:v>
      </x:c>
      <x:c r="F40" s="66" t="n">
        <x:v>10</x:v>
      </x:c>
      <x:c r="G40" s="66" t="n">
        <x:v>0</x:v>
      </x:c>
      <x:c r="H40" s="16" t="n">
        <x:v>0.23546314484778713</x:v>
      </x:c>
      <x:c r="I40" s="16" t="n">
        <x:v>0.5317789437214344</x:v>
      </x:c>
      <x:c r="J40" s="16" t="n">
        <x:v>-0.20136017549553792</x:v>
      </x:c>
    </x:row>
    <x:row r="41">
      <x:c r="A41" s="66" t="n">
        <x:v>38</x:v>
      </x:c>
      <x:c r="B41" s="66" t="str">
        <x:v>13k</x:v>
      </x:c>
      <x:c r="C41" s="42" t="n">
        <x:v>0.0001</x:v>
      </x:c>
      <x:c r="D41" s="66" t="str">
        <x:v>isentropic</x:v>
      </x:c>
      <x:c r="E41" s="66" t="str">
        <x:v>P+GapNom</x:v>
      </x:c>
      <x:c r="F41" s="66" t="n">
        <x:v>10</x:v>
      </x:c>
      <x:c r="G41" s="66" t="n">
        <x:v>0</x:v>
      </x:c>
      <x:c r="H41" s="16" t="n">
        <x:v>0.23652875251623803</x:v>
      </x:c>
      <x:c r="I41" s="16" t="n">
        <x:v>0.5347208852841903</x:v>
      </x:c>
      <x:c r="J41" s="16" t="n">
        <x:v>-0.20423468758193772</x:v>
      </x:c>
    </x:row>
    <x:row r="42">
      <x:c r="A42" s="66" t="n">
        <x:v>39</x:v>
      </x:c>
      <x:c r="B42" s="66" t="str">
        <x:v>13k</x:v>
      </x:c>
      <x:c r="C42" s="42" t="n">
        <x:v>0.00001</x:v>
      </x:c>
      <x:c r="D42" s="66" t="str">
        <x:v>isentropic</x:v>
      </x:c>
      <x:c r="E42" s="66" t="str">
        <x:v>P+GapNom</x:v>
      </x:c>
      <x:c r="F42" s="66" t="n">
        <x:v>10</x:v>
      </x:c>
      <x:c r="G42" s="66" t="n">
        <x:v>0</x:v>
      </x:c>
      <x:c r="H42" s="16" t="n">
        <x:v>0.23663339217585982</x:v>
      </x:c>
      <x:c r="I42" s="16" t="n">
        <x:v>0.5346356896648188</x:v>
      </x:c>
      <x:c r="J42" s="16" t="n">
        <x:v>-0.2042087610653489</x:v>
      </x:c>
    </x:row>
    <x:row r="43">
      <x:c r="A43" s="66" t="n">
        <x:v>40</x:v>
      </x:c>
      <x:c r="B43" s="66" t="str">
        <x:v>21k</x:v>
      </x:c>
      <x:c r="C43" s="42" t="n">
        <x:v>0.0001</x:v>
      </x:c>
      <x:c r="D43" s="66" t="str">
        <x:v>isentropic</x:v>
      </x:c>
      <x:c r="E43" s="66" t="str">
        <x:v>P+Wing+Body+GapNom+Antenna</x:v>
      </x:c>
      <x:c r="F43" s="66" t="n">
        <x:v>10</x:v>
      </x:c>
      <x:c r="G43" s="66" t="n">
        <x:v>2</x:v>
      </x:c>
      <x:c r="H43" s="16" t="n">
        <x:v>0.2398521456581344</x:v>
      </x:c>
      <x:c r="I43" s="16" t="n">
        <x:v>0.42134227697706467</x:v>
      </x:c>
      <x:c r="J43" s="16" t="n">
        <x:v>-0.16533917483974495</x:v>
      </x:c>
    </x:row>
    <x:row r="44">
      <x:c r="A44" s="66" t="n">
        <x:v>41</x:v>
      </x:c>
      <x:c r="B44" s="66" t="str">
        <x:v>13k</x:v>
      </x:c>
      <x:c r="C44" s="42" t="n">
        <x:v>0.0001</x:v>
      </x:c>
      <x:c r="D44" s="66" t="str">
        <x:v>isentropic</x:v>
      </x:c>
      <x:c r="E44" s="66" t="str">
        <x:v>P+GapLow</x:v>
      </x:c>
      <x:c r="F44" s="66" t="n">
        <x:v>10</x:v>
      </x:c>
      <x:c r="G44" s="66" t="n">
        <x:v>0</x:v>
      </x:c>
      <x:c r="H44" s="16" t="n">
        <x:v>0.24045087086920566</x:v>
      </x:c>
      <x:c r="I44" s="16" t="n">
        <x:v>0.5442953533692967</x:v>
      </x:c>
      <x:c r="J44" s="16" t="n">
        <x:v>-0.21378180593490534</x:v>
      </x:c>
    </x:row>
    <x:row r="45">
      <x:c r="A45" s="66" t="n">
        <x:v>42</x:v>
      </x:c>
      <x:c r="B45" s="66" t="str">
        <x:v>13k</x:v>
      </x:c>
      <x:c r="C45" s="42" t="n">
        <x:v>0.00001</x:v>
      </x:c>
      <x:c r="D45" s="66" t="str">
        <x:v>isentropic</x:v>
      </x:c>
      <x:c r="E45" s="66" t="str">
        <x:v>P+GapLow</x:v>
      </x:c>
      <x:c r="F45" s="66" t="n">
        <x:v>10</x:v>
      </x:c>
      <x:c r="G45" s="66" t="n">
        <x:v>0</x:v>
      </x:c>
      <x:c r="H45" s="16" t="n">
        <x:v>0.24055551052882748</x:v>
      </x:c>
      <x:c r="I45" s="16" t="n">
        <x:v>0.5442101577499251</x:v>
      </x:c>
      <x:c r="J45" s="16" t="n">
        <x:v>-0.21375587941831653</x:v>
      </x:c>
    </x:row>
    <x:row r="46">
      <x:c r="A46" s="66" t="n">
        <x:v>43</x:v>
      </x:c>
      <x:c r="B46" s="66" t="str">
        <x:v>21k</x:v>
      </x:c>
      <x:c r="C46" s="42" t="n">
        <x:v>0.0001</x:v>
      </x:c>
      <x:c r="D46" s="66" t="str">
        <x:v>isentropic</x:v>
      </x:c>
      <x:c r="E46" s="66" t="str">
        <x:v>P+Wing+Body+GapNom</x:v>
      </x:c>
      <x:c r="F46" s="66" t="n">
        <x:v>10</x:v>
      </x:c>
      <x:c r="G46" s="66" t="n">
        <x:v>2</x:v>
      </x:c>
      <x:c r="H46" s="16" t="n">
        <x:v>0.24102239298620717</x:v>
      </x:c>
      <x:c r="I46" s="16" t="n">
        <x:v>0.4241839078625474</x:v>
      </x:c>
      <x:c r="J46" s="16" t="n">
        <x:v>-0.16818776040955594</x:v>
      </x:c>
    </x:row>
    <x:row r="47">
      <x:c r="A47" s="66" t="n">
        <x:v>44</x:v>
      </x:c>
      <x:c r="B47" s="66" t="str">
        <x:v>13k</x:v>
      </x:c>
      <x:c r="C47" s="42" t="n">
        <x:v>0.0001</x:v>
      </x:c>
      <x:c r="D47" s="66" t="str">
        <x:v>isentropic</x:v>
      </x:c>
      <x:c r="E47" s="66" t="str">
        <x:v>P+Antenna</x:v>
      </x:c>
      <x:c r="F47" s="66" t="n">
        <x:v>10</x:v>
      </x:c>
      <x:c r="G47" s="66" t="n">
        <x:v>0</x:v>
      </x:c>
      <x:c r="H47" s="16" t="n">
        <x:v>0.2479964421032833</x:v>
      </x:c>
      <x:c r="I47" s="16" t="n">
        <x:v>0.5627152031705933</x:v>
      </x:c>
      <x:c r="J47" s="16" t="n">
        <x:v>-0.23214903892724473</x:v>
      </x:c>
    </x:row>
    <x:row r="48">
      <x:c r="A48" s="66" t="n">
        <x:v>45</x:v>
      </x:c>
      <x:c r="B48" s="66" t="str">
        <x:v>13k</x:v>
      </x:c>
      <x:c r="C48" s="42" t="n">
        <x:v>0.00001</x:v>
      </x:c>
      <x:c r="D48" s="66" t="str">
        <x:v>isentropic</x:v>
      </x:c>
      <x:c r="E48" s="66" t="str">
        <x:v>P+Antenna</x:v>
      </x:c>
      <x:c r="F48" s="66" t="n">
        <x:v>10</x:v>
      </x:c>
      <x:c r="G48" s="66" t="n">
        <x:v>0</x:v>
      </x:c>
      <x:c r="H48" s="16" t="n">
        <x:v>0.2481010817629051</x:v>
      </x:c>
      <x:c r="I48" s="16" t="n">
        <x:v>0.5626300075512216</x:v>
      </x:c>
      <x:c r="J48" s="16" t="n">
        <x:v>-0.2321231124106559</x:v>
      </x:c>
    </x:row>
    <x:row r="49">
      <x:c r="A49" s="66" t="n">
        <x:v>46</x:v>
      </x:c>
      <x:c r="B49" s="66" t="str">
        <x:v>13k</x:v>
      </x:c>
      <x:c r="C49" s="42" t="n">
        <x:v>0.0001</x:v>
      </x:c>
      <x:c r="D49" s="66" t="str">
        <x:v>isentropic</x:v>
      </x:c>
      <x:c r="E49" s="66" t="str">
        <x:v>P</x:v>
      </x:c>
      <x:c r="F49" s="66" t="n">
        <x:v>10</x:v>
      </x:c>
      <x:c r="G49" s="66" t="n">
        <x:v>0</x:v>
      </x:c>
      <x:c r="H49" s="16" t="n">
        <x:v>0.249166689431356</x:v>
      </x:c>
      <x:c r="I49" s="16" t="n">
        <x:v>0.5655719491139776</x:v>
      </x:c>
      <x:c r="J49" s="16" t="n">
        <x:v>-0.23499762449705572</x:v>
      </x:c>
    </x:row>
    <x:row r="50">
      <x:c r="A50" s="66" t="n">
        <x:v>47</x:v>
      </x:c>
      <x:c r="B50" s="66" t="str">
        <x:v>13k</x:v>
      </x:c>
      <x:c r="C50" s="42" t="n">
        <x:v>0.00001</x:v>
      </x:c>
      <x:c r="D50" s="66" t="str">
        <x:v>isentropic</x:v>
      </x:c>
      <x:c r="E50" s="66" t="str">
        <x:v>P</x:v>
      </x:c>
      <x:c r="F50" s="66" t="n">
        <x:v>10</x:v>
      </x:c>
      <x:c r="G50" s="66" t="n">
        <x:v>0</x:v>
      </x:c>
      <x:c r="H50" s="16" t="n">
        <x:v>0.24927132909097782</x:v>
      </x:c>
      <x:c r="I50" s="16" t="n">
        <x:v>0.565486753494606</x:v>
      </x:c>
      <x:c r="J50" s="16" t="n">
        <x:v>-0.2349716979804669</x:v>
      </x:c>
    </x:row>
    <x:row r="51">
      <x:c r="A51" s="66" t="n">
        <x:v>48</x:v>
      </x:c>
      <x:c r="B51" s="66" t="str">
        <x:v>21k</x:v>
      </x:c>
      <x:c r="C51" s="42" t="n">
        <x:v>0.0001</x:v>
      </x:c>
      <x:c r="D51" s="66" t="str">
        <x:v>isentropic</x:v>
      </x:c>
      <x:c r="E51" s="66" t="str">
        <x:v>P+Wing+Body</x:v>
      </x:c>
      <x:c r="F51" s="66" t="n">
        <x:v>10</x:v>
      </x:c>
      <x:c r="G51" s="66" t="n">
        <x:v>2</x:v>
      </x:c>
      <x:c r="H51" s="16" t="n">
        <x:v>0.25366032990132514</x:v>
      </x:c>
      <x:c r="I51" s="16" t="n">
        <x:v>0.4548717385503781</x:v>
      </x:c>
      <x:c r="J51" s="16" t="n">
        <x:v>-0.198950697324674</x:v>
      </x:c>
    </x:row>
    <x:row r="52">
      <x:c r="A52" s="66" t="n">
        <x:v>49</x:v>
      </x:c>
      <x:c r="B52" s="66" t="str">
        <x:v>7k</x:v>
      </x:c>
      <x:c r="C52" s="42" t="n">
        <x:v>0.00001</x:v>
      </x:c>
      <x:c r="D52" s="66" t="str">
        <x:v>isentropic</x:v>
      </x:c>
      <x:c r="E52" s="66" t="str">
        <x:v>P+Body</x:v>
      </x:c>
      <x:c r="F52" s="66" t="n">
        <x:v>10</x:v>
      </x:c>
      <x:c r="G52" s="66" t="n">
        <x:v>0</x:v>
      </x:c>
      <x:c r="H52" s="16" t="n">
        <x:v>0.25580725727800707</x:v>
      </x:c>
      <x:c r="I52" s="16" t="n">
        <x:v>0.35691299994709125</x:v>
      </x:c>
      <x:c r="J52" s="16" t="n">
        <x:v>0.25580725727800707</x:v>
      </x:c>
    </x:row>
    <x:row r="53">
      <x:c r="A53" s="66" t="n">
        <x:v>50</x:v>
      </x:c>
      <x:c r="B53" s="66" t="str">
        <x:v>7k</x:v>
      </x:c>
      <x:c r="C53" s="42" t="n">
        <x:v>0.0001</x:v>
      </x:c>
      <x:c r="D53" s="66" t="str">
        <x:v>isentropic</x:v>
      </x:c>
      <x:c r="E53" s="66" t="str">
        <x:v>P+Body</x:v>
      </x:c>
      <x:c r="F53" s="66" t="n">
        <x:v>10</x:v>
      </x:c>
      <x:c r="G53" s="66" t="n">
        <x:v>0</x:v>
      </x:c>
      <x:c r="H53" s="16" t="n">
        <x:v>0.25583218920965983</x:v>
      </x:c>
      <x:c r="I53" s="16" t="n">
        <x:v>0.35694731299822263</x:v>
      </x:c>
      <x:c r="J53" s="16" t="n">
        <x:v>0.25583218920965983</x:v>
      </x:c>
    </x:row>
    <x:row r="54">
      <x:c r="A54" s="66" t="n">
        <x:v>51</x:v>
      </x:c>
      <x:c r="B54" s="66" t="str">
        <x:v>21k</x:v>
      </x:c>
      <x:c r="C54" s="42" t="n">
        <x:v>0.00001</x:v>
      </x:c>
      <x:c r="D54" s="66" t="str">
        <x:v>isentropic</x:v>
      </x:c>
      <x:c r="E54" s="66" t="str">
        <x:v>P+Body</x:v>
      </x:c>
      <x:c r="F54" s="66" t="n">
        <x:v>10</x:v>
      </x:c>
      <x:c r="G54" s="66" t="n">
        <x:v>2</x:v>
      </x:c>
      <x:c r="H54" s="16" t="n">
        <x:v>0.2683525769450561</x:v>
      </x:c>
      <x:c r="I54" s="16" t="n">
        <x:v>0.5381969722884641</x:v>
      </x:c>
      <x:c r="J54" s="16" t="n">
        <x:v>-0.2556952413394333</x:v>
      </x:c>
    </x:row>
    <x:row r="55">
      <x:c r="A55" s="66" t="n">
        <x:v>52</x:v>
      </x:c>
      <x:c r="B55" s="66" t="str">
        <x:v>21k</x:v>
      </x:c>
      <x:c r="C55" s="42" t="n">
        <x:v>0.0001</x:v>
      </x:c>
      <x:c r="D55" s="66" t="str">
        <x:v>isentropic</x:v>
      </x:c>
      <x:c r="E55" s="66" t="str">
        <x:v>P+Body</x:v>
      </x:c>
      <x:c r="F55" s="66" t="n">
        <x:v>10</x:v>
      </x:c>
      <x:c r="G55" s="66" t="n">
        <x:v>2</x:v>
      </x:c>
      <x:c r="H55" s="16" t="n">
        <x:v>0.29467180578903973</x:v>
      </x:c>
      <x:c r="I55" s="16" t="n">
        <x:v>0.5377667861694257</x:v>
      </x:c>
      <x:c r="J55" s="16" t="n">
        <x:v>-0.2820970248250377</x:v>
      </x:c>
    </x:row>
    <x:row r="56">
      <x:c r="A56" s="66" t="n">
        <x:v>53</x:v>
      </x:c>
      <x:c r="B56" s="66" t="str">
        <x:v>21k</x:v>
      </x:c>
      <x:c r="C56" s="42" t="n">
        <x:v>0.00001</x:v>
      </x:c>
      <x:c r="D56" s="66" t="str">
        <x:v>isentropic</x:v>
      </x:c>
      <x:c r="E56" s="66" t="str">
        <x:v>P+Wing</x:v>
      </x:c>
      <x:c r="F56" s="66" t="n">
        <x:v>10</x:v>
      </x:c>
      <x:c r="G56" s="66" t="n">
        <x:v>2</x:v>
      </x:c>
      <x:c r="H56" s="16" t="n">
        <x:v>0.29558057019912565</x:v>
      </x:c>
      <x:c r="I56" s="16" t="n">
        <x:v>0.577091578030881</x:v>
      </x:c>
      <x:c r="J56" s="16" t="n">
        <x:v>-0.2947077483581688</x:v>
      </x:c>
    </x:row>
    <x:row r="57">
      <x:c r="A57" s="66" t="n">
        <x:v>54</x:v>
      </x:c>
      <x:c r="B57" s="66" t="str">
        <x:v>21k</x:v>
      </x:c>
      <x:c r="C57" s="42" t="n">
        <x:v>0.0001</x:v>
      </x:c>
      <x:c r="D57" s="66" t="str">
        <x:v>isentropic</x:v>
      </x:c>
      <x:c r="E57" s="66" t="str">
        <x:v>P+Wing</x:v>
      </x:c>
      <x:c r="F57" s="66" t="n">
        <x:v>10</x:v>
      </x:c>
      <x:c r="G57" s="66" t="n">
        <x:v>2</x:v>
      </x:c>
      <x:c r="H57" s="16" t="n">
        <x:v>0.3219353730709249</x:v>
      </x:c>
      <x:c r="I57" s="16" t="n">
        <x:v>0.5766613919118426</x:v>
      </x:c>
      <x:c r="J57" s="16" t="n">
        <x:v>-0.3211095318437733</x:v>
      </x:c>
    </x:row>
    <x:row r="58">
      <x:c r="A58" s="66" t="n">
        <x:v>55</x:v>
      </x:c>
      <x:c r="B58" s="66" t="str">
        <x:v>7k</x:v>
      </x:c>
      <x:c r="C58" s="42" t="n">
        <x:v>0.00001</x:v>
      </x:c>
      <x:c r="D58" s="66" t="str">
        <x:v>isentropic</x:v>
      </x:c>
      <x:c r="E58" s="66" t="str">
        <x:v>P+Wing+Body</x:v>
      </x:c>
      <x:c r="F58" s="66" t="n">
        <x:v>10</x:v>
      </x:c>
      <x:c r="G58" s="66" t="n">
        <x:v>0</x:v>
      </x:c>
      <x:c r="H58" s="16" t="n">
        <x:v>0.33895358477837084</x:v>
      </x:c>
      <x:c r="I58" s="16" t="n">
        <x:v>0.43882949994709153</x:v>
      </x:c>
      <x:c r="J58" s="16" t="n">
        <x:v>0.33895358477837084</x:v>
      </x:c>
    </x:row>
    <x:row r="59">
      <x:c r="A59" s="66" t="n">
        <x:v>56</x:v>
      </x:c>
      <x:c r="B59" s="66" t="str">
        <x:v>7k</x:v>
      </x:c>
      <x:c r="C59" s="42" t="n">
        <x:v>0.0001</x:v>
      </x:c>
      <x:c r="D59" s="66" t="str">
        <x:v>isentropic</x:v>
      </x:c>
      <x:c r="E59" s="66" t="str">
        <x:v>P+Wing+Body</x:v>
      </x:c>
      <x:c r="F59" s="66" t="n">
        <x:v>10</x:v>
      </x:c>
      <x:c r="G59" s="66" t="n">
        <x:v>0</x:v>
      </x:c>
      <x:c r="H59" s="16" t="n">
        <x:v>0.33897851671002355</x:v>
      </x:c>
      <x:c r="I59" s="16" t="n">
        <x:v>0.4388638129982228</x:v>
      </x:c>
      <x:c r="J59" s="16" t="n">
        <x:v>0.33897851671002355</x:v>
      </x:c>
    </x:row>
    <x:row r="60">
      <x:c r="A60" s="66" t="n">
        <x:v>57</x:v>
      </x:c>
      <x:c r="B60" s="66" t="str">
        <x:v>21k</x:v>
      </x:c>
      <x:c r="C60" s="42" t="n">
        <x:v>0.00001</x:v>
      </x:c>
      <x:c r="D60" s="66" t="str">
        <x:v>isentropic</x:v>
      </x:c>
      <x:c r="E60" s="66" t="str">
        <x:v>P+GapNom+Antenna</x:v>
      </x:c>
      <x:c r="F60" s="66" t="n">
        <x:v>10</x:v>
      </x:c>
      <x:c r="G60" s="66" t="n">
        <x:v>2</x:v>
      </x:c>
      <x:c r="H60" s="16" t="n">
        <x:v>0.34424255337360354</x:v>
      </x:c>
      <x:c r="I60" s="16" t="n">
        <x:v>0.6264571640766151</x:v>
      </x:c>
      <x:c r="J60" s="16" t="n">
        <x:v>-0.34424255337360354</x:v>
      </x:c>
    </x:row>
    <x:row r="61">
      <x:c r="A61" s="66" t="n">
        <x:v>58</x:v>
      </x:c>
      <x:c r="B61" s="66" t="str">
        <x:v>21k</x:v>
      </x:c>
      <x:c r="C61" s="42" t="n">
        <x:v>0.00001</x:v>
      </x:c>
      <x:c r="D61" s="66" t="str">
        <x:v>isentropic</x:v>
      </x:c>
      <x:c r="E61" s="66" t="str">
        <x:v>P+GapNom</x:v>
      </x:c>
      <x:c r="F61" s="66" t="n">
        <x:v>10</x:v>
      </x:c>
      <x:c r="G61" s="66" t="n">
        <x:v>2</x:v>
      </x:c>
      <x:c r="H61" s="16" t="n">
        <x:v>0.3470911389434146</x:v>
      </x:c>
      <x:c r="I61" s="16" t="n">
        <x:v>0.629298794962098</x:v>
      </x:c>
      <x:c r="J61" s="16" t="n">
        <x:v>-0.3470911389434146</x:v>
      </x:c>
    </x:row>
    <x:row r="62">
      <x:c r="A62" s="66" t="n">
        <x:v>59</x:v>
      </x:c>
      <x:c r="B62" s="66" t="str">
        <x:v>21k</x:v>
      </x:c>
      <x:c r="C62" s="42" t="n">
        <x:v>0.00001</x:v>
      </x:c>
      <x:c r="D62" s="66" t="str">
        <x:v>isentropic</x:v>
      </x:c>
      <x:c r="E62" s="66" t="str">
        <x:v>P+GapLow</x:v>
      </x:c>
      <x:c r="F62" s="66" t="n">
        <x:v>10</x:v>
      </x:c>
      <x:c r="G62" s="66" t="n">
        <x:v>2</x:v>
      </x:c>
      <x:c r="H62" s="16" t="n">
        <x:v>0.3566382572963822</x:v>
      </x:c>
      <x:c r="I62" s="16" t="n">
        <x:v>0.6388226044859074</x:v>
      </x:c>
      <x:c r="J62" s="16" t="n">
        <x:v>-0.3566382572963822</x:v>
      </x:c>
    </x:row>
    <x:row r="63">
      <x:c r="A63" s="66" t="n">
        <x:v>60</x:v>
      </x:c>
      <x:c r="B63" s="66" t="str">
        <x:v>7k</x:v>
      </x:c>
      <x:c r="C63" s="42" t="n">
        <x:v>0.00001</x:v>
      </x:c>
      <x:c r="D63" s="66" t="str">
        <x:v>isentropic</x:v>
      </x:c>
      <x:c r="E63" s="66" t="str">
        <x:v>P+Wing+Body+GapNom</x:v>
      </x:c>
      <x:c r="F63" s="66" t="n">
        <x:v>10</x:v>
      </x:c>
      <x:c r="G63" s="66" t="n">
        <x:v>0</x:v>
      </x:c>
      <x:c r="H63" s="16" t="n">
        <x:v>0.3697165216934888</x:v>
      </x:c>
      <x:c r="I63" s="16" t="n">
        <x:v>0.46903783328042464</x:v>
      </x:c>
      <x:c r="J63" s="16" t="n">
        <x:v>0.3697165216934888</x:v>
      </x:c>
    </x:row>
    <x:row r="64">
      <x:c r="A64" s="66" t="n">
        <x:v>61</x:v>
      </x:c>
      <x:c r="B64" s="66" t="str">
        <x:v>7k</x:v>
      </x:c>
      <x:c r="C64" s="42" t="n">
        <x:v>0.0001</x:v>
      </x:c>
      <x:c r="D64" s="66" t="str">
        <x:v>isentropic</x:v>
      </x:c>
      <x:c r="E64" s="66" t="str">
        <x:v>P+Wing+Body+GapNom</x:v>
      </x:c>
      <x:c r="F64" s="66" t="n">
        <x:v>10</x:v>
      </x:c>
      <x:c r="G64" s="66" t="n">
        <x:v>0</x:v>
      </x:c>
      <x:c r="H64" s="16" t="n">
        <x:v>0.36974145362514155</x:v>
      </x:c>
      <x:c r="I64" s="16" t="n">
        <x:v>0.46907214633155603</x:v>
      </x:c>
      <x:c r="J64" s="16" t="n">
        <x:v>0.36974145362514155</x:v>
      </x:c>
    </x:row>
    <x:row r="65">
      <x:c r="A65" s="66" t="n">
        <x:v>62</x:v>
      </x:c>
      <x:c r="B65" s="66" t="str">
        <x:v>21k</x:v>
      </x:c>
      <x:c r="C65" s="42" t="n">
        <x:v>0.0001</x:v>
      </x:c>
      <x:c r="D65" s="66" t="str">
        <x:v>isentropic</x:v>
      </x:c>
      <x:c r="E65" s="66" t="str">
        <x:v>P+GapNom+Antenna</x:v>
      </x:c>
      <x:c r="F65" s="66" t="n">
        <x:v>10</x:v>
      </x:c>
      <x:c r="G65" s="66" t="n">
        <x:v>2</x:v>
      </x:c>
      <x:c r="H65" s="16" t="n">
        <x:v>0.37064433685920806</x:v>
      </x:c>
      <x:c r="I65" s="16" t="n">
        <x:v>0.6260269779575767</x:v>
      </x:c>
      <x:c r="J65" s="16" t="n">
        <x:v>-0.37064433685920806</x:v>
      </x:c>
    </x:row>
    <x:row r="66">
      <x:c r="A66" s="66" t="n">
        <x:v>63</x:v>
      </x:c>
      <x:c r="B66" s="66" t="str">
        <x:v>7k</x:v>
      </x:c>
      <x:c r="C66" s="42" t="n">
        <x:v>0.00001</x:v>
      </x:c>
      <x:c r="D66" s="66" t="str">
        <x:v>isentropic</x:v>
      </x:c>
      <x:c r="E66" s="66" t="str">
        <x:v>P+Wing+Body+GapNom+Antenna</x:v>
      </x:c>
      <x:c r="F66" s="66" t="n">
        <x:v>10</x:v>
      </x:c>
      <x:c r="G66" s="66" t="n">
        <x:v>0</x:v>
      </x:c>
      <x:c r="H66" s="16" t="n">
        <x:v>0.37256510726329983</x:v>
      </x:c>
      <x:c r="I66" s="16" t="n">
        <x:v>0.4718350636833219</x:v>
      </x:c>
      <x:c r="J66" s="16" t="n">
        <x:v>0.37256510726329983</x:v>
      </x:c>
    </x:row>
    <x:row r="67">
      <x:c r="A67" s="66" t="n">
        <x:v>64</x:v>
      </x:c>
      <x:c r="B67" s="66" t="str">
        <x:v>7k</x:v>
      </x:c>
      <x:c r="C67" s="42" t="n">
        <x:v>0.0001</x:v>
      </x:c>
      <x:c r="D67" s="66" t="str">
        <x:v>isentropic</x:v>
      </x:c>
      <x:c r="E67" s="66" t="str">
        <x:v>P+Wing+Body+GapNom+Antenna</x:v>
      </x:c>
      <x:c r="F67" s="66" t="n">
        <x:v>10</x:v>
      </x:c>
      <x:c r="G67" s="66" t="n">
        <x:v>0</x:v>
      </x:c>
      <x:c r="H67" s="16" t="n">
        <x:v>0.37259003919495265</x:v>
      </x:c>
      <x:c r="I67" s="16" t="n">
        <x:v>0.4718693767344533</x:v>
      </x:c>
      <x:c r="J67" s="16" t="n">
        <x:v>0.37259003919495265</x:v>
      </x:c>
    </x:row>
    <x:row r="68">
      <x:c r="A68" s="66" t="n">
        <x:v>65</x:v>
      </x:c>
      <x:c r="B68" s="66" t="str">
        <x:v>21k</x:v>
      </x:c>
      <x:c r="C68" s="42" t="n">
        <x:v>0.0001</x:v>
      </x:c>
      <x:c r="D68" s="66" t="str">
        <x:v>isentropic</x:v>
      </x:c>
      <x:c r="E68" s="66" t="str">
        <x:v>P+GapNom</x:v>
      </x:c>
      <x:c r="F68" s="66" t="n">
        <x:v>10</x:v>
      </x:c>
      <x:c r="G68" s="66" t="n">
        <x:v>2</x:v>
      </x:c>
      <x:c r="H68" s="16" t="n">
        <x:v>0.3734929224290191</x:v>
      </x:c>
      <x:c r="I68" s="16" t="n">
        <x:v>0.6288686088430595</x:v>
      </x:c>
      <x:c r="J68" s="16" t="n">
        <x:v>-0.3734929224290191</x:v>
      </x:c>
    </x:row>
    <x:row r="69">
      <x:c r="A69" s="66" t="n">
        <x:v>66</x:v>
      </x:c>
      <x:c r="B69" s="66" t="str">
        <x:v>21k</x:v>
      </x:c>
      <x:c r="C69" s="42" t="n">
        <x:v>0.00001</x:v>
      </x:c>
      <x:c r="D69" s="66" t="str">
        <x:v>isentropic</x:v>
      </x:c>
      <x:c r="E69" s="66" t="str">
        <x:v>P+Antenna</x:v>
      </x:c>
      <x:c r="F69" s="66" t="n">
        <x:v>10</x:v>
      </x:c>
      <x:c r="G69" s="66" t="n">
        <x:v>2</x:v>
      </x:c>
      <x:c r="H69" s="16" t="n">
        <x:v>0.3750054902887216</x:v>
      </x:c>
      <x:c r="I69" s="16" t="n">
        <x:v>0.6571449947644458</x:v>
      </x:c>
      <x:c r="J69" s="16" t="n">
        <x:v>-0.3750054902887216</x:v>
      </x:c>
    </x:row>
    <x:row r="70">
      <x:c r="A70" s="66" t="n">
        <x:v>67</x:v>
      </x:c>
      <x:c r="B70" s="66" t="str">
        <x:v>21k</x:v>
      </x:c>
      <x:c r="C70" s="42" t="n">
        <x:v>0.00001</x:v>
      </x:c>
      <x:c r="D70" s="66" t="str">
        <x:v>isentropic</x:v>
      </x:c>
      <x:c r="E70" s="66" t="str">
        <x:v>P</x:v>
      </x:c>
      <x:c r="F70" s="66" t="n">
        <x:v>10</x:v>
      </x:c>
      <x:c r="G70" s="66" t="n">
        <x:v>2</x:v>
      </x:c>
      <x:c r="H70" s="16" t="n">
        <x:v>0.37785407585853265</x:v>
      </x:c>
      <x:c r="I70" s="16" t="n">
        <x:v>0.6599866256499286</x:v>
      </x:c>
      <x:c r="J70" s="16" t="n">
        <x:v>-0.37785407585853265</x:v>
      </x:c>
    </x:row>
    <x:row r="71">
      <x:c r="A71" s="66" t="n">
        <x:v>68</x:v>
      </x:c>
      <x:c r="B71" s="66" t="str">
        <x:v>21k</x:v>
      </x:c>
      <x:c r="C71" s="42" t="n">
        <x:v>0.0001</x:v>
      </x:c>
      <x:c r="D71" s="66" t="str">
        <x:v>isentropic</x:v>
      </x:c>
      <x:c r="E71" s="66" t="str">
        <x:v>P+GapLow</x:v>
      </x:c>
      <x:c r="F71" s="66" t="n">
        <x:v>10</x:v>
      </x:c>
      <x:c r="G71" s="66" t="n">
        <x:v>2</x:v>
      </x:c>
      <x:c r="H71" s="16" t="n">
        <x:v>0.3830400407819867</x:v>
      </x:c>
      <x:c r="I71" s="16" t="n">
        <x:v>0.6383924183668691</x:v>
      </x:c>
      <x:c r="J71" s="16" t="n">
        <x:v>-0.3830400407819867</x:v>
      </x:c>
    </x:row>
    <x:row r="72">
      <x:c r="A72" s="66" t="n">
        <x:v>69</x:v>
      </x:c>
      <x:c r="B72" s="66" t="str">
        <x:v>21k</x:v>
      </x:c>
      <x:c r="C72" s="42" t="n">
        <x:v>0.0001</x:v>
      </x:c>
      <x:c r="D72" s="66" t="str">
        <x:v>isentropic</x:v>
      </x:c>
      <x:c r="E72" s="66" t="str">
        <x:v>P+Antenna</x:v>
      </x:c>
      <x:c r="F72" s="66" t="n">
        <x:v>10</x:v>
      </x:c>
      <x:c r="G72" s="66" t="n">
        <x:v>2</x:v>
      </x:c>
      <x:c r="H72" s="16" t="n">
        <x:v>0.40140727377432606</x:v>
      </x:c>
      <x:c r="I72" s="16" t="n">
        <x:v>0.6567148086454074</x:v>
      </x:c>
      <x:c r="J72" s="16" t="n">
        <x:v>-0.40140727377432606</x:v>
      </x:c>
    </x:row>
    <x:row r="73">
      <x:c r="A73" s="69" t="n">
        <x:v>70</x:v>
      </x:c>
      <x:c r="B73" s="69" t="str">
        <x:v>21k</x:v>
      </x:c>
      <x:c r="C73" s="72" t="n">
        <x:v>0.0001</x:v>
      </x:c>
      <x:c r="D73" s="69" t="str">
        <x:v>isentropic</x:v>
      </x:c>
      <x:c r="E73" s="69" t="str">
        <x:v>P</x:v>
      </x:c>
      <x:c r="F73" s="69" t="n">
        <x:v>10</x:v>
      </x:c>
      <x:c r="G73" s="69" t="n">
        <x:v>2</x:v>
      </x:c>
      <x:c r="H73" s="74" t="n">
        <x:v>0.40425585934413705</x:v>
      </x:c>
      <x:c r="I73" s="74" t="n">
        <x:v>0.6595564395308903</x:v>
      </x:c>
      <x:c r="J73" s="74" t="n">
        <x:v>-0.40425585934413705</x:v>
      </x:c>
    </x:row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11" hidden="0" customWidth="1"/>
    <x:col min="4" max="4" width="18" hidden="0" customWidth="1"/>
    <x:col min="5" max="5" width="12" hidden="0" customWidth="1"/>
    <x:col min="6" max="6" width="12" hidden="0" customWidth="1"/>
    <x:col min="7" max="7" width="23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>
      <x:c r="A1" s="3" t="str">
        <x:v>Сеточная и offset-сходимость значения Cx0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6"/>
      <x:c r="B2" s="66"/>
      <x:c r="C2" s="66"/>
      <x:c r="D2" s="66"/>
      <x:c r="E2" s="66"/>
      <x:c r="F2" s="66"/>
      <x:c r="G2" s="66"/>
      <x:c r="H2" s="66"/>
      <x:c r="I2" s="66"/>
      <x:c r="J2" s="66"/>
      <x:c r="K2" s="66"/>
      <x:c r="L2" s="66"/>
    </x:row>
    <x:row r="3">
      <x:c r="A3" s="36" t="str">
        <x:v>Сетка</x:v>
      </x:c>
      <x:c r="B3" s="36" t="str">
        <x:v>M</x:v>
      </x:c>
      <x:c r="C3" s="36" t="str">
        <x:v>Offset</x:v>
      </x:c>
      <x:c r="D3" s="36" t="str">
        <x:v>Правило давления</x:v>
      </x:c>
      <x:c r="E3" s="36" t="str">
        <x:v>Точек α</x:v>
      </x:c>
      <x:c r="F3" s="36" t="str">
        <x:v>α(CN=0), °</x:v>
      </x:c>
      <x:c r="G3" s="36" t="str">
        <x:v>Метод</x:v>
      </x:c>
      <x:c r="H3" s="36" t="str">
        <x:v>Cx0 давления</x:v>
      </x:c>
      <x:c r="I3" s="36" t="str">
        <x:v>Книга Cx0</x:v>
      </x:c>
      <x:c r="J3" s="36" t="str">
        <x:v>Время, с</x:v>
      </x:c>
      <x:c r="K3" s="36" t="str">
        <x:v>Макс. норма невязки</x:v>
      </x:c>
      <x:c r="L3" s="66"/>
    </x:row>
    <x:row r="4">
      <x:c r="A4" s="66" t="str">
        <x:v>13k</x:v>
      </x:c>
      <x:c r="B4" s="45" t="n">
        <x:v>1.1</x:v>
      </x:c>
      <x:c r="C4" s="42" t="n">
        <x:v>0.00001</x:v>
      </x:c>
      <x:c r="D4" s="66" t="str">
        <x:v>isentropic</x:v>
      </x:c>
      <x:c r="E4" s="66" t="n">
        <x:v>5</x:v>
      </x:c>
      <x:c r="F4" s="49" t="n">
        <x:v>1.574088076980477</x:v>
      </x:c>
      <x:c r="G4" s="66" t="str">
        <x:v>bracketed_CN0_quadratic_CD</x:v>
      </x:c>
      <x:c r="H4" s="42" t="n">
        <x:v>0.04931338298532702</x:v>
      </x:c>
      <x:c r="I4" s="42" t="n">
        <x:v>0.048</x:v>
      </x:c>
      <x:c r="J4" s="53" t="n">
        <x:v>249.548</x:v>
      </x:c>
      <x:c r="K4" s="55" t="n">
        <x:v>5.43464867479721e-9</x:v>
      </x:c>
      <x:c r="L4" s="66"/>
    </x:row>
    <x:row r="5">
      <x:c r="A5" s="66" t="str">
        <x:v>13k</x:v>
      </x:c>
      <x:c r="B5" s="45" t="n">
        <x:v>1.1</x:v>
      </x:c>
      <x:c r="C5" s="42" t="n">
        <x:v>0.0001</x:v>
      </x:c>
      <x:c r="D5" s="66" t="str">
        <x:v>isentropic</x:v>
      </x:c>
      <x:c r="E5" s="66" t="n">
        <x:v>5</x:v>
      </x:c>
      <x:c r="F5" s="49" t="n">
        <x:v>1.5793818140869185</x:v>
      </x:c>
      <x:c r="G5" s="66" t="str">
        <x:v>bracketed_CN0_quadratic_CD</x:v>
      </x:c>
      <x:c r="H5" s="42" t="n">
        <x:v>0.04929788798862794</x:v>
      </x:c>
      <x:c r="I5" s="42" t="n">
        <x:v>0.048</x:v>
      </x:c>
      <x:c r="J5" s="53" t="n">
        <x:v>244.796</x:v>
      </x:c>
      <x:c r="K5" s="55" t="n">
        <x:v>5.4243532792753e-8</x:v>
      </x:c>
      <x:c r="L5" s="66"/>
    </x:row>
    <x:row r="6">
      <x:c r="A6" s="66" t="str">
        <x:v>13k</x:v>
      </x:c>
      <x:c r="B6" s="45" t="n">
        <x:v>1.15</x:v>
      </x:c>
      <x:c r="C6" s="42" t="n">
        <x:v>0.00001</x:v>
      </x:c>
      <x:c r="D6" s="66" t="str">
        <x:v>isentropic</x:v>
      </x:c>
      <x:c r="E6" s="66" t="n">
        <x:v>5</x:v>
      </x:c>
      <x:c r="F6" s="49" t="n">
        <x:v>0.6249499380477619</x:v>
      </x:c>
      <x:c r="G6" s="66" t="str">
        <x:v>bracketed_CN0_quadratic_CD</x:v>
      </x:c>
      <x:c r="H6" s="42" t="n">
        <x:v>0.04999578661023491</x:v>
      </x:c>
      <x:c r="I6" s="42" t="n">
        <x:v>0.048</x:v>
      </x:c>
      <x:c r="J6" s="53" t="n">
        <x:v>443.954</x:v>
      </x:c>
      <x:c r="K6" s="55" t="n">
        <x:v>6.60378516245918e-9</x:v>
      </x:c>
      <x:c r="L6" s="66"/>
    </x:row>
    <x:row r="7">
      <x:c r="A7" s="66" t="str">
        <x:v>13k</x:v>
      </x:c>
      <x:c r="B7" s="45" t="n">
        <x:v>1.15</x:v>
      </x:c>
      <x:c r="C7" s="42" t="n">
        <x:v>0.0001</x:v>
      </x:c>
      <x:c r="D7" s="66" t="str">
        <x:v>isentropic</x:v>
      </x:c>
      <x:c r="E7" s="66" t="n">
        <x:v>5</x:v>
      </x:c>
      <x:c r="F7" s="49" t="n">
        <x:v>0.6262107942016004</x:v>
      </x:c>
      <x:c r="G7" s="66" t="str">
        <x:v>bracketed_CN0_quadratic_CD</x:v>
      </x:c>
      <x:c r="H7" s="42" t="n">
        <x:v>0.0499872421482736</x:v>
      </x:c>
      <x:c r="I7" s="42" t="n">
        <x:v>0.048</x:v>
      </x:c>
      <x:c r="J7" s="53" t="n">
        <x:v>519.328</x:v>
      </x:c>
      <x:c r="K7" s="55" t="n">
        <x:v>6.59356670798377e-8</x:v>
      </x:c>
      <x:c r="L7" s="66"/>
    </x:row>
    <x:row r="8">
      <x:c r="A8" s="66" t="str">
        <x:v>13k</x:v>
      </x:c>
      <x:c r="B8" s="45" t="n">
        <x:v>1.2</x:v>
      </x:c>
      <x:c r="C8" s="42" t="n">
        <x:v>0.00001</x:v>
      </x:c>
      <x:c r="D8" s="66" t="str">
        <x:v>isentropic</x:v>
      </x:c>
      <x:c r="E8" s="66" t="n">
        <x:v>12</x:v>
      </x:c>
      <x:c r="F8" s="49" t="n">
        <x:v>0.2324786709783525</x:v>
      </x:c>
      <x:c r="G8" s="66" t="str">
        <x:v>bracketed_CN0_quadratic_CD</x:v>
      </x:c>
      <x:c r="H8" s="42" t="n">
        <x:v>0.048122741870960696</x:v>
      </x:c>
      <x:c r="I8" s="42" t="n">
        <x:v>0.048</x:v>
      </x:c>
      <x:c r="J8" s="53" t="n">
        <x:v>557.529</x:v>
      </x:c>
      <x:c r="K8" s="55" t="n">
        <x:v>7.2386779060423e-9</x:v>
      </x:c>
      <x:c r="L8" s="66"/>
    </x:row>
    <x:row r="9">
      <x:c r="A9" s="66" t="str">
        <x:v>13k</x:v>
      </x:c>
      <x:c r="B9" s="45" t="n">
        <x:v>1.2</x:v>
      </x:c>
      <x:c r="C9" s="42" t="n">
        <x:v>0.0001</x:v>
      </x:c>
      <x:c r="D9" s="66" t="str">
        <x:v>isentropic</x:v>
      </x:c>
      <x:c r="E9" s="66" t="n">
        <x:v>12</x:v>
      </x:c>
      <x:c r="F9" s="49" t="n">
        <x:v>0.2339306166000571</x:v>
      </x:c>
      <x:c r="G9" s="66" t="str">
        <x:v>bracketed_CN0_quadratic_CD</x:v>
      </x:c>
      <x:c r="H9" s="42" t="n">
        <x:v>0.04811544544733053</x:v>
      </x:c>
      <x:c r="I9" s="42" t="n">
        <x:v>0.048</x:v>
      </x:c>
      <x:c r="J9" s="53" t="n">
        <x:v>605.063</x:v>
      </x:c>
      <x:c r="K9" s="55" t="n">
        <x:v>7.2352671290504e-8</x:v>
      </x:c>
      <x:c r="L9" s="66"/>
    </x:row>
    <x:row r="10">
      <x:c r="A10" s="66" t="str">
        <x:v>13k</x:v>
      </x:c>
      <x:c r="B10" s="45" t="n">
        <x:v>1.25</x:v>
      </x:c>
      <x:c r="C10" s="42" t="n">
        <x:v>0.00001</x:v>
      </x:c>
      <x:c r="D10" s="66" t="str">
        <x:v>isentropic</x:v>
      </x:c>
      <x:c r="E10" s="66" t="n">
        <x:v>13</x:v>
      </x:c>
      <x:c r="F10" s="49" t="n">
        <x:v>-0.11170672229555134</x:v>
      </x:c>
      <x:c r="G10" s="66" t="str">
        <x:v>bracketed_CN0_quadratic_CD</x:v>
      </x:c>
      <x:c r="H10" s="42" t="n">
        <x:v>0.04489919001323156</x:v>
      </x:c>
      <x:c r="I10" s="42" t="n">
        <x:v>0.04775</x:v>
      </x:c>
      <x:c r="J10" s="53" t="n">
        <x:v>447.733</x:v>
      </x:c>
      <x:c r="K10" s="55" t="n">
        <x:v>7.59505073546023e-9</x:v>
      </x:c>
      <x:c r="L10" s="66"/>
    </x:row>
    <x:row r="11">
      <x:c r="A11" s="66" t="str">
        <x:v>13k</x:v>
      </x:c>
      <x:c r="B11" s="45" t="n">
        <x:v>1.25</x:v>
      </x:c>
      <x:c r="C11" s="42" t="n">
        <x:v>0.0001</x:v>
      </x:c>
      <x:c r="D11" s="66" t="str">
        <x:v>isentropic</x:v>
      </x:c>
      <x:c r="E11" s="66" t="n">
        <x:v>13</x:v>
      </x:c>
      <x:c r="F11" s="49" t="n">
        <x:v>-0.11023414872393458</x:v>
      </x:c>
      <x:c r="G11" s="66" t="str">
        <x:v>bracketed_CN0_quadratic_CD</x:v>
      </x:c>
      <x:c r="H11" s="42" t="n">
        <x:v>0.04489696928067857</x:v>
      </x:c>
      <x:c r="I11" s="42" t="n">
        <x:v>0.04775</x:v>
      </x:c>
      <x:c r="J11" s="53" t="n">
        <x:v>446.673</x:v>
      </x:c>
      <x:c r="K11" s="55" t="n">
        <x:v>7.59760821524138e-8</x:v>
      </x:c>
      <x:c r="L11" s="66"/>
    </x:row>
    <x:row r="12">
      <x:c r="A12" s="66" t="str">
        <x:v>13k</x:v>
      </x:c>
      <x:c r="B12" s="45" t="n">
        <x:v>1.3</x:v>
      </x:c>
      <x:c r="C12" s="42" t="n">
        <x:v>0.00001</x:v>
      </x:c>
      <x:c r="D12" s="66" t="str">
        <x:v>isentropic</x:v>
      </x:c>
      <x:c r="E12" s="66" t="n">
        <x:v>5</x:v>
      </x:c>
      <x:c r="F12" s="49" t="n">
        <x:v>-0.7203336269582405</x:v>
      </x:c>
      <x:c r="G12" s="66" t="str">
        <x:v>bracketed_CN0_quadratic_CD</x:v>
      </x:c>
      <x:c r="H12" s="42" t="n">
        <x:v>0.040183701108663185</x:v>
      </x:c>
      <x:c r="I12" s="42" t="n">
        <x:v>0.0475</x:v>
      </x:c>
      <x:c r="J12" s="53" t="n">
        <x:v>161.61</x:v>
      </x:c>
      <x:c r="K12" s="55" t="n">
        <x:v>7.73926859336203e-9</x:v>
      </x:c>
      <x:c r="L12" s="66"/>
    </x:row>
    <x:row r="13">
      <x:c r="A13" s="66" t="str">
        <x:v>13k</x:v>
      </x:c>
      <x:c r="B13" s="45" t="n">
        <x:v>1.3</x:v>
      </x:c>
      <x:c r="C13" s="42" t="n">
        <x:v>0.0001</x:v>
      </x:c>
      <x:c r="D13" s="66" t="str">
        <x:v>isentropic</x:v>
      </x:c>
      <x:c r="E13" s="66" t="n">
        <x:v>5</x:v>
      </x:c>
      <x:c r="F13" s="49" t="n">
        <x:v>-0.7205268426622702</x:v>
      </x:c>
      <x:c r="G13" s="66" t="str">
        <x:v>bracketed_CN0_quadratic_CD</x:v>
      </x:c>
      <x:c r="H13" s="42" t="n">
        <x:v>0.04019625952551641</x:v>
      </x:c>
      <x:c r="I13" s="42" t="n">
        <x:v>0.0475</x:v>
      </x:c>
      <x:c r="J13" s="53" t="n">
        <x:v>161.60999999999999</x:v>
      </x:c>
      <x:c r="K13" s="55" t="n">
        <x:v>7.7477560449828e-8</x:v>
      </x:c>
      <x:c r="L13" s="66"/>
    </x:row>
    <x:row r="14">
      <x:c r="A14" s="66" t="str">
        <x:v>13k</x:v>
      </x:c>
      <x:c r="B14" s="45" t="n">
        <x:v>1.35</x:v>
      </x:c>
      <x:c r="C14" s="42" t="n">
        <x:v>0.00001</x:v>
      </x:c>
      <x:c r="D14" s="66" t="str">
        <x:v>isentropic</x:v>
      </x:c>
      <x:c r="E14" s="66" t="n">
        <x:v>5</x:v>
      </x:c>
      <x:c r="F14" s="49" t="n">
        <x:v>-1.138640036751871</x:v>
      </x:c>
      <x:c r="G14" s="66" t="str">
        <x:v>bracketed_CN0_quadratic_CD</x:v>
      </x:c>
      <x:c r="H14" s="42" t="n">
        <x:v>0.02411968445479377</x:v>
      </x:c>
      <x:c r="I14" s="42" t="n">
        <x:v>0.04725</x:v>
      </x:c>
      <x:c r="J14" s="53" t="n">
        <x:v>152.173</x:v>
      </x:c>
      <x:c r="K14" s="55" t="n">
        <x:v>7.70658988515457e-9</x:v>
      </x:c>
      <x:c r="L14" s="66"/>
    </x:row>
    <x:row r="15">
      <x:c r="A15" s="66" t="str">
        <x:v>13k</x:v>
      </x:c>
      <x:c r="B15" s="45" t="n">
        <x:v>1.35</x:v>
      </x:c>
      <x:c r="C15" s="42" t="n">
        <x:v>0.0001</x:v>
      </x:c>
      <x:c r="D15" s="66" t="str">
        <x:v>isentropic</x:v>
      </x:c>
      <x:c r="E15" s="66" t="n">
        <x:v>5</x:v>
      </x:c>
      <x:c r="F15" s="49" t="n">
        <x:v>-1.1373143563553143</x:v>
      </x:c>
      <x:c r="G15" s="66" t="str">
        <x:v>bracketed_CN0_quadratic_CD</x:v>
      </x:c>
      <x:c r="H15" s="42" t="n">
        <x:v>0.024154238278732216</x:v>
      </x:c>
      <x:c r="I15" s="42" t="n">
        <x:v>0.04725</x:v>
      </x:c>
      <x:c r="J15" s="53" t="n">
        <x:v>151.734</x:v>
      </x:c>
      <x:c r="K15" s="55" t="n">
        <x:v>7.72209928545381e-8</x:v>
      </x:c>
      <x:c r="L15" s="66"/>
    </x:row>
    <x:row r="16">
      <x:c r="A16" s="66" t="str">
        <x:v>13k</x:v>
      </x:c>
      <x:c r="B16" s="45" t="n">
        <x:v>1.4</x:v>
      </x:c>
      <x:c r="C16" s="42" t="n">
        <x:v>0.00001</x:v>
      </x:c>
      <x:c r="D16" s="66" t="str">
        <x:v>isentropic</x:v>
      </x:c>
      <x:c r="E16" s="66" t="n">
        <x:v>5</x:v>
      </x:c>
      <x:c r="F16" s="49" t="n">
        <x:v>-1.1783713958679343</x:v>
      </x:c>
      <x:c r="G16" s="66" t="str">
        <x:v>bracketed_CN0_quadratic_CD</x:v>
      </x:c>
      <x:c r="H16" s="42" t="n">
        <x:v>0.02042212258575352</x:v>
      </x:c>
      <x:c r="I16" s="42" t="n">
        <x:v>0.047</x:v>
      </x:c>
      <x:c r="J16" s="53" t="n">
        <x:v>144.064</x:v>
      </x:c>
      <x:c r="K16" s="55" t="n">
        <x:v>7.48956435631551e-9</x:v>
      </x:c>
      <x:c r="L16" s="66"/>
    </x:row>
    <x:row r="17">
      <x:c r="A17" s="66" t="str">
        <x:v>13k</x:v>
      </x:c>
      <x:c r="B17" s="45" t="n">
        <x:v>1.4</x:v>
      </x:c>
      <x:c r="C17" s="42" t="n">
        <x:v>0.0001</x:v>
      </x:c>
      <x:c r="D17" s="66" t="str">
        <x:v>isentropic</x:v>
      </x:c>
      <x:c r="E17" s="66" t="n">
        <x:v>5</x:v>
      </x:c>
      <x:c r="F17" s="49" t="n">
        <x:v>-1.1761324552162502</x:v>
      </x:c>
      <x:c r="G17" s="66" t="str">
        <x:v>bracketed_CN0_quadratic_CD</x:v>
      </x:c>
      <x:c r="H17" s="42" t="n">
        <x:v>0.020418118391643054</x:v>
      </x:c>
      <x:c r="I17" s="42" t="n">
        <x:v>0.047</x:v>
      </x:c>
      <x:c r="J17" s="53" t="n">
        <x:v>143.873</x:v>
      </x:c>
      <x:c r="K17" s="55" t="n">
        <x:v>7.51277624193229e-8</x:v>
      </x:c>
      <x:c r="L17" s="66"/>
    </x:row>
    <x:row r="18">
      <x:c r="A18" s="66" t="str">
        <x:v>13k</x:v>
      </x:c>
      <x:c r="B18" s="45" t="n">
        <x:v>1.45</x:v>
      </x:c>
      <x:c r="C18" s="42" t="n">
        <x:v>0.00001</x:v>
      </x:c>
      <x:c r="D18" s="66" t="str">
        <x:v>isentropic</x:v>
      </x:c>
      <x:c r="E18" s="66" t="n">
        <x:v>5</x:v>
      </x:c>
      <x:c r="F18" s="49" t="n">
        <x:v>-0.3923086223044874</x:v>
      </x:c>
      <x:c r="G18" s="66" t="str">
        <x:v>bracketed_CN0_quadratic_CD</x:v>
      </x:c>
      <x:c r="H18" s="42" t="n">
        <x:v>0.028154050698046103</x:v>
      </x:c>
      <x:c r="I18" s="42" t="n">
        <x:v>0.0465</x:v>
      </x:c>
      <x:c r="J18" s="53" t="n">
        <x:v>133.562</x:v>
      </x:c>
      <x:c r="K18" s="55" t="n">
        <x:v>7.11083298303712e-9</x:v>
      </x:c>
      <x:c r="L18" s="66"/>
    </x:row>
    <x:row r="19">
      <x:c r="A19" s="66" t="str">
        <x:v>13k</x:v>
      </x:c>
      <x:c r="B19" s="45" t="n">
        <x:v>1.45</x:v>
      </x:c>
      <x:c r="C19" s="42" t="n">
        <x:v>0.0001</x:v>
      </x:c>
      <x:c r="D19" s="66" t="str">
        <x:v>isentropic</x:v>
      </x:c>
      <x:c r="E19" s="66" t="n">
        <x:v>5</x:v>
      </x:c>
      <x:c r="F19" s="49" t="n">
        <x:v>-0.39238997867643266</x:v>
      </x:c>
      <x:c r="G19" s="66" t="str">
        <x:v>bracketed_CN0_quadratic_CD</x:v>
      </x:c>
      <x:c r="H19" s="42" t="n">
        <x:v>0.028149557474481536</x:v>
      </x:c>
      <x:c r="I19" s="42" t="n">
        <x:v>0.0465</x:v>
      </x:c>
      <x:c r="J19" s="53" t="n">
        <x:v>133.532</x:v>
      </x:c>
      <x:c r="K19" s="55" t="n">
        <x:v>7.14221100751342e-8</x:v>
      </x:c>
      <x:c r="L19" s="66"/>
    </x:row>
    <x:row r="20">
      <x:c r="A20" s="66" t="str">
        <x:v>13k</x:v>
      </x:c>
      <x:c r="B20" s="45" t="n">
        <x:v>1.5</x:v>
      </x:c>
      <x:c r="C20" s="42" t="n">
        <x:v>0.00001</x:v>
      </x:c>
      <x:c r="D20" s="66" t="str">
        <x:v>isentropic</x:v>
      </x:c>
      <x:c r="E20" s="66" t="n">
        <x:v>14</x:v>
      </x:c>
      <x:c r="F20" s="49" t="n">
        <x:v>0.2405059217307785</x:v>
      </x:c>
      <x:c r="G20" s="66" t="str">
        <x:v>bracketed_CN0_quadratic_CD</x:v>
      </x:c>
      <x:c r="H20" s="42" t="n">
        <x:v>0.030067393782461364</x:v>
      </x:c>
      <x:c r="I20" s="42" t="n">
        <x:v>0.046</x:v>
      </x:c>
      <x:c r="J20" s="53" t="n">
        <x:v>342.203</x:v>
      </x:c>
      <x:c r="K20" s="55" t="n">
        <x:v>6.57967463817782e-9</x:v>
      </x:c>
      <x:c r="L20" s="66"/>
    </x:row>
    <x:row r="21">
      <x:c r="A21" s="66" t="str">
        <x:v>13k</x:v>
      </x:c>
      <x:c r="B21" s="45" t="n">
        <x:v>1.5</x:v>
      </x:c>
      <x:c r="C21" s="42" t="n">
        <x:v>0.0001</x:v>
      </x:c>
      <x:c r="D21" s="66" t="str">
        <x:v>isentropic</x:v>
      </x:c>
      <x:c r="E21" s="66" t="n">
        <x:v>14</x:v>
      </x:c>
      <x:c r="F21" s="49" t="n">
        <x:v>0.24106670129165259</x:v>
      </x:c>
      <x:c r="G21" s="66" t="str">
        <x:v>bracketed_CN0_quadratic_CD</x:v>
      </x:c>
      <x:c r="H21" s="42" t="n">
        <x:v>0.03005251735821375</x:v>
      </x:c>
      <x:c r="I21" s="42" t="n">
        <x:v>0.046</x:v>
      </x:c>
      <x:c r="J21" s="53" t="n">
        <x:v>341.827</x:v>
      </x:c>
      <x:c r="K21" s="55" t="n">
        <x:v>6.61896127403687e-8</x:v>
      </x:c>
      <x:c r="L21" s="66"/>
    </x:row>
    <x:row r="22">
      <x:c r="A22" s="66" t="str">
        <x:v>13k</x:v>
      </x:c>
      <x:c r="B22" s="45" t="n">
        <x:v>1.55</x:v>
      </x:c>
      <x:c r="C22" s="42" t="n">
        <x:v>0.00001</x:v>
      </x:c>
      <x:c r="D22" s="66" t="str">
        <x:v>isentropic</x:v>
      </x:c>
      <x:c r="E22" s="66" t="n">
        <x:v>12</x:v>
      </x:c>
      <x:c r="F22" s="49" t="n">
        <x:v>0.9440279298665963</x:v>
      </x:c>
      <x:c r="G22" s="66" t="str">
        <x:v>bracketed_CN0_quadratic_CD</x:v>
      </x:c>
      <x:c r="H22" s="42" t="n">
        <x:v>0.02677355711724155</x:v>
      </x:c>
      <x:c r="I22" s="42" t="n">
        <x:v>0.0455</x:v>
      </x:c>
      <x:c r="J22" s="53" t="n">
        <x:v>274.389</x:v>
      </x:c>
      <x:c r="K22" s="55" t="n">
        <x:v>4.92070082268013e-9</x:v>
      </x:c>
      <x:c r="L22" s="66"/>
    </x:row>
    <x:row r="23">
      <x:c r="A23" s="66" t="str">
        <x:v>13k</x:v>
      </x:c>
      <x:c r="B23" s="45" t="n">
        <x:v>1.55</x:v>
      </x:c>
      <x:c r="C23" s="42" t="n">
        <x:v>0.0001</x:v>
      </x:c>
      <x:c r="D23" s="66" t="str">
        <x:v>isentropic</x:v>
      </x:c>
      <x:c r="E23" s="66" t="n">
        <x:v>12</x:v>
      </x:c>
      <x:c r="F23" s="49" t="n">
        <x:v>0.9439100261969016</x:v>
      </x:c>
      <x:c r="G23" s="66" t="str">
        <x:v>bracketed_CN0_quadratic_CD</x:v>
      </x:c>
      <x:c r="H23" s="42" t="n">
        <x:v>0.026771264473664524</x:v>
      </x:c>
      <x:c r="I23" s="42" t="n">
        <x:v>0.0455</x:v>
      </x:c>
      <x:c r="J23" s="53" t="n">
        <x:v>275.688</x:v>
      </x:c>
      <x:c r="K23" s="55" t="n">
        <x:v>4.96802288364922e-8</x:v>
      </x:c>
      <x:c r="L23" s="66"/>
    </x:row>
    <x:row r="24">
      <x:c r="A24" s="66" t="str">
        <x:v>21k</x:v>
      </x:c>
      <x:c r="B24" s="45" t="n">
        <x:v>1.1</x:v>
      </x:c>
      <x:c r="C24" s="42" t="n">
        <x:v>0.00001</x:v>
      </x:c>
      <x:c r="D24" s="66" t="str">
        <x:v>isentropic</x:v>
      </x:c>
      <x:c r="E24" s="66" t="n">
        <x:v>9</x:v>
      </x:c>
      <x:c r="F24" s="49" t="n">
        <x:v>0.5018983150202766</x:v>
      </x:c>
      <x:c r="G24" s="66" t="str">
        <x:v>bracketed_CN0_quadratic_CD</x:v>
      </x:c>
      <x:c r="H24" s="42" t="n">
        <x:v>0.04426735124182963</x:v>
      </x:c>
      <x:c r="I24" s="42" t="n">
        <x:v>0.048</x:v>
      </x:c>
      <x:c r="J24" s="53" t="n">
        <x:v>1173.532</x:v>
      </x:c>
      <x:c r="K24" s="55" t="n">
        <x:v>6.45483564992584e-9</x:v>
      </x:c>
      <x:c r="L24" s="66"/>
    </x:row>
    <x:row r="25">
      <x:c r="A25" s="66" t="str">
        <x:v>21k</x:v>
      </x:c>
      <x:c r="B25" s="45" t="n">
        <x:v>1.1</x:v>
      </x:c>
      <x:c r="C25" s="42" t="n">
        <x:v>0.00001</x:v>
      </x:c>
      <x:c r="D25" s="66" t="str">
        <x:v>slender-body</x:v>
      </x:c>
      <x:c r="E25" s="66" t="n">
        <x:v>3</x:v>
      </x:c>
      <x:c r="F25" s="49" t="n">
        <x:v>-0.7336369938307266</x:v>
      </x:c>
      <x:c r="G25" s="66" t="str">
        <x:v>bracketed_CN0_quadratic_CD</x:v>
      </x:c>
      <x:c r="H25" s="42" t="n">
        <x:v>0.0537154868997712</x:v>
      </x:c>
      <x:c r="I25" s="42" t="n">
        <x:v>0.048</x:v>
      </x:c>
      <x:c r="J25" s="53" t="n">
        <x:v>390.547</x:v>
      </x:c>
      <x:c r="K25" s="55" t="n">
        <x:v>6.17584077079218e-9</x:v>
      </x:c>
      <x:c r="L25" s="66"/>
    </x:row>
    <x:row r="26">
      <x:c r="A26" s="66" t="str">
        <x:v>21k</x:v>
      </x:c>
      <x:c r="B26" s="45" t="n">
        <x:v>1.1</x:v>
      </x:c>
      <x:c r="C26" s="42" t="n">
        <x:v>0.0001</x:v>
      </x:c>
      <x:c r="D26" s="66" t="str">
        <x:v>isentropic</x:v>
      </x:c>
      <x:c r="E26" s="66" t="n">
        <x:v>9</x:v>
      </x:c>
      <x:c r="F26" s="49" t="n">
        <x:v>0.5054837008272006</x:v>
      </x:c>
      <x:c r="G26" s="66" t="str">
        <x:v>bracketed_CN0_quadratic_CD</x:v>
      </x:c>
      <x:c r="H26" s="42" t="n">
        <x:v>0.04425607589451638</x:v>
      </x:c>
      <x:c r="I26" s="42" t="n">
        <x:v>0.048</x:v>
      </x:c>
      <x:c r="J26" s="53" t="n">
        <x:v>1176.875</x:v>
      </x:c>
      <x:c r="K26" s="55" t="n">
        <x:v>6.45304242149537e-8</x:v>
      </x:c>
      <x:c r="L26" s="66"/>
    </x:row>
    <x:row r="27">
      <x:c r="A27" s="66" t="str">
        <x:v>21k</x:v>
      </x:c>
      <x:c r="B27" s="45" t="n">
        <x:v>1.15</x:v>
      </x:c>
      <x:c r="C27" s="42" t="n">
        <x:v>0.00001</x:v>
      </x:c>
      <x:c r="D27" s="66" t="str">
        <x:v>isentropic</x:v>
      </x:c>
      <x:c r="E27" s="66" t="n">
        <x:v>9</x:v>
      </x:c>
      <x:c r="F27" s="49" t="n">
        <x:v>-0.09517781462184693</x:v>
      </x:c>
      <x:c r="G27" s="66" t="str">
        <x:v>bracketed_CN0_quadratic_CD</x:v>
      </x:c>
      <x:c r="H27" s="42" t="n">
        <x:v>0.04319428699605944</x:v>
      </x:c>
      <x:c r="I27" s="42" t="n">
        <x:v>0.048</x:v>
      </x:c>
      <x:c r="J27" s="53" t="n">
        <x:v>1028.342</x:v>
      </x:c>
      <x:c r="K27" s="55" t="n">
        <x:v>7.66417307984152e-9</x:v>
      </x:c>
      <x:c r="L27" s="66"/>
    </x:row>
    <x:row r="28">
      <x:c r="A28" s="66" t="str">
        <x:v>21k</x:v>
      </x:c>
      <x:c r="B28" s="45" t="n">
        <x:v>1.15</x:v>
      </x:c>
      <x:c r="C28" s="42" t="n">
        <x:v>0.00001</x:v>
      </x:c>
      <x:c r="D28" s="66" t="str">
        <x:v>slender-body</x:v>
      </x:c>
      <x:c r="E28" s="66" t="n">
        <x:v>3</x:v>
      </x:c>
      <x:c r="F28" s="49" t="n">
        <x:v>-0.6934752303624168</x:v>
      </x:c>
      <x:c r="G28" s="66" t="str">
        <x:v>bracketed_CN0_quadratic_CD</x:v>
      </x:c>
      <x:c r="H28" s="42" t="n">
        <x:v>0.0533003135809729</x:v>
      </x:c>
      <x:c r="I28" s="42" t="n">
        <x:v>0.048</x:v>
      </x:c>
      <x:c r="J28" s="53" t="n">
        <x:v>339.906</x:v>
      </x:c>
      <x:c r="K28" s="55" t="n">
        <x:v>7.62887011725961e-9</x:v>
      </x:c>
      <x:c r="L28" s="66"/>
    </x:row>
    <x:row r="29">
      <x:c r="A29" s="66" t="str">
        <x:v>21k</x:v>
      </x:c>
      <x:c r="B29" s="45" t="n">
        <x:v>1.15</x:v>
      </x:c>
      <x:c r="C29" s="42" t="n">
        <x:v>0.0001</x:v>
      </x:c>
      <x:c r="D29" s="66" t="str">
        <x:v>isentropic</x:v>
      </x:c>
      <x:c r="E29" s="66" t="n">
        <x:v>9</x:v>
      </x:c>
      <x:c r="F29" s="49" t="n">
        <x:v>-0.0918471024343116</x:v>
      </x:c>
      <x:c r="G29" s="66" t="str">
        <x:v>bracketed_CN0_quadratic_CD</x:v>
      </x:c>
      <x:c r="H29" s="42" t="n">
        <x:v>0.0431857492293837</x:v>
      </x:c>
      <x:c r="I29" s="42" t="n">
        <x:v>0.048</x:v>
      </x:c>
      <x:c r="J29" s="53" t="n">
        <x:v>1019.516</x:v>
      </x:c>
      <x:c r="K29" s="55" t="n">
        <x:v>7.65123123836585e-8</x:v>
      </x:c>
      <x:c r="L29" s="66"/>
    </x:row>
    <x:row r="30">
      <x:c r="A30" s="66" t="str">
        <x:v>21k</x:v>
      </x:c>
      <x:c r="B30" s="45" t="n">
        <x:v>1.2</x:v>
      </x:c>
      <x:c r="C30" s="42" t="n">
        <x:v>0.00001</x:v>
      </x:c>
      <x:c r="D30" s="66" t="str">
        <x:v>isentropic</x:v>
      </x:c>
      <x:c r="E30" s="66" t="n">
        <x:v>14</x:v>
      </x:c>
      <x:c r="F30" s="49" t="n">
        <x:v>-0.2179170899681097</x:v>
      </x:c>
      <x:c r="G30" s="66" t="str">
        <x:v>bracketed_CN0_quadratic_CD</x:v>
      </x:c>
      <x:c r="H30" s="42" t="n">
        <x:v>0.04052314708132172</x:v>
      </x:c>
      <x:c r="I30" s="42" t="n">
        <x:v>0.048</x:v>
      </x:c>
      <x:c r="J30" s="53" t="n">
        <x:v>1397.702</x:v>
      </x:c>
      <x:c r="K30" s="55" t="n">
        <x:v>9.07403313434786e-9</x:v>
      </x:c>
      <x:c r="L30" s="66"/>
    </x:row>
    <x:row r="31">
      <x:c r="A31" s="66" t="str">
        <x:v>21k</x:v>
      </x:c>
      <x:c r="B31" s="45" t="n">
        <x:v>1.2</x:v>
      </x:c>
      <x:c r="C31" s="42" t="n">
        <x:v>0.00001</x:v>
      </x:c>
      <x:c r="D31" s="66" t="str">
        <x:v>slender-body</x:v>
      </x:c>
      <x:c r="E31" s="66" t="n">
        <x:v>3</x:v>
      </x:c>
      <x:c r="F31" s="49" t="n">
        <x:v>-0.442427360819704</x:v>
      </x:c>
      <x:c r="G31" s="66" t="str">
        <x:v>bracketed_CN0_quadratic_CD</x:v>
      </x:c>
      <x:c r="H31" s="42" t="n">
        <x:v>0.05160027558612092</x:v>
      </x:c>
      <x:c r="I31" s="42" t="n">
        <x:v>0.048</x:v>
      </x:c>
      <x:c r="J31" s="53" t="n">
        <x:v>301.625</x:v>
      </x:c>
      <x:c r="K31" s="55" t="n">
        <x:v>9.01150796780396e-9</x:v>
      </x:c>
      <x:c r="L31" s="66"/>
    </x:row>
    <x:row r="32">
      <x:c r="A32" s="66" t="str">
        <x:v>21k</x:v>
      </x:c>
      <x:c r="B32" s="45" t="n">
        <x:v>1.2</x:v>
      </x:c>
      <x:c r="C32" s="42" t="n">
        <x:v>0.0001</x:v>
      </x:c>
      <x:c r="D32" s="66" t="str">
        <x:v>isentropic</x:v>
      </x:c>
      <x:c r="E32" s="66" t="n">
        <x:v>9</x:v>
      </x:c>
      <x:c r="F32" s="49" t="n">
        <x:v>-0.24411174415267156</x:v>
      </x:c>
      <x:c r="G32" s="66" t="str">
        <x:v>bracketed_CN0_quadratic_CD</x:v>
      </x:c>
      <x:c r="H32" s="42" t="n">
        <x:v>0.040524292910772586</x:v>
      </x:c>
      <x:c r="I32" s="42" t="n">
        <x:v>0.048</x:v>
      </x:c>
      <x:c r="J32" s="53" t="n">
        <x:v>900.362</x:v>
      </x:c>
      <x:c r="K32" s="55" t="n">
        <x:v>9.05385944438166e-8</x:v>
      </x:c>
      <x:c r="L32" s="66"/>
    </x:row>
    <x:row r="33">
      <x:c r="A33" s="66" t="str">
        <x:v>21k</x:v>
      </x:c>
      <x:c r="B33" s="45" t="n">
        <x:v>1.25</x:v>
      </x:c>
      <x:c r="C33" s="42" t="n">
        <x:v>0.00001</x:v>
      </x:c>
      <x:c r="D33" s="66" t="str">
        <x:v>isentropic</x:v>
      </x:c>
      <x:c r="E33" s="66" t="n">
        <x:v>15</x:v>
      </x:c>
      <x:c r="F33" s="49" t="n">
        <x:v>-0.649257562793965</x:v>
      </x:c>
      <x:c r="G33" s="66" t="str">
        <x:v>bracketed_CN0_quadratic_CD</x:v>
      </x:c>
      <x:c r="H33" s="42" t="n">
        <x:v>0.036129183178926834</x:v>
      </x:c>
      <x:c r="I33" s="42" t="n">
        <x:v>0.04775</x:v>
      </x:c>
      <x:c r="J33" s="53" t="n">
        <x:v>1345.125</x:v>
      </x:c>
      <x:c r="K33" s="55" t="n">
        <x:v>1.00784529441664e-8</x:v>
      </x:c>
      <x:c r="L33" s="66"/>
    </x:row>
    <x:row r="34">
      <x:c r="A34" s="66" t="str">
        <x:v>21k</x:v>
      </x:c>
      <x:c r="B34" s="45" t="n">
        <x:v>1.25</x:v>
      </x:c>
      <x:c r="C34" s="42" t="n">
        <x:v>0.00001</x:v>
      </x:c>
      <x:c r="D34" s="66" t="str">
        <x:v>slender-body</x:v>
      </x:c>
      <x:c r="E34" s="66" t="n">
        <x:v>3</x:v>
      </x:c>
      <x:c r="F34" s="49" t="n">
        <x:v>-1.4526337215997214</x:v>
      </x:c>
      <x:c r="G34" s="66" t="str">
        <x:v>bracketed_CN0_quadratic_CD</x:v>
      </x:c>
      <x:c r="H34" s="42" t="n">
        <x:v>0.04775160083240036</x:v>
      </x:c>
      <x:c r="I34" s="42" t="n">
        <x:v>0.04775</x:v>
      </x:c>
      <x:c r="J34" s="53" t="n">
        <x:v>268.26599999999996</x:v>
      </x:c>
      <x:c r="K34" s="55" t="n">
        <x:v>9.70469228291989e-9</x:v>
      </x:c>
      <x:c r="L34" s="66"/>
    </x:row>
    <x:row r="35">
      <x:c r="A35" s="66" t="str">
        <x:v>21k</x:v>
      </x:c>
      <x:c r="B35" s="45" t="n">
        <x:v>1.25</x:v>
      </x:c>
      <x:c r="C35" s="42" t="n">
        <x:v>0.0001</x:v>
      </x:c>
      <x:c r="D35" s="66" t="str">
        <x:v>isentropic</x:v>
      </x:c>
      <x:c r="E35" s="66" t="n">
        <x:v>9</x:v>
      </x:c>
      <x:c r="F35" s="49" t="n">
        <x:v>-0.6825154916471494</x:v>
      </x:c>
      <x:c r="G35" s="66" t="str">
        <x:v>bracketed_CN0_quadratic_CD</x:v>
      </x:c>
      <x:c r="H35" s="42" t="n">
        <x:v>0.03605339950989087</x:v>
      </x:c>
      <x:c r="I35" s="42" t="n">
        <x:v>0.04775</x:v>
      </x:c>
      <x:c r="J35" s="53" t="n">
        <x:v>811.235</x:v>
      </x:c>
      <x:c r="K35" s="55" t="n">
        <x:v>1.00558802759128e-7</x:v>
      </x:c>
      <x:c r="L35" s="66"/>
    </x:row>
    <x:row r="36">
      <x:c r="A36" s="66" t="str">
        <x:v>21k</x:v>
      </x:c>
      <x:c r="B36" s="45" t="n">
        <x:v>1.3</x:v>
      </x:c>
      <x:c r="C36" s="42" t="n">
        <x:v>0.00001</x:v>
      </x:c>
      <x:c r="D36" s="66" t="str">
        <x:v>isentropic</x:v>
      </x:c>
      <x:c r="E36" s="66" t="n">
        <x:v>9</x:v>
      </x:c>
      <x:c r="F36" s="49" t="n">
        <x:v>-0.9697379543240241</x:v>
      </x:c>
      <x:c r="G36" s="66" t="str">
        <x:v>bracketed_CN0_quadratic_CD</x:v>
      </x:c>
      <x:c r="H36" s="42" t="n">
        <x:v>0.030407173000175484</x:v>
      </x:c>
      <x:c r="I36" s="42" t="n">
        <x:v>0.0475</x:v>
      </x:c>
      <x:c r="J36" s="53" t="n">
        <x:v>740.298</x:v>
      </x:c>
      <x:c r="K36" s="55" t="n">
        <x:v>1.02182800418708e-8</x:v>
      </x:c>
      <x:c r="L36" s="66"/>
    </x:row>
    <x:row r="37">
      <x:c r="A37" s="66" t="str">
        <x:v>21k</x:v>
      </x:c>
      <x:c r="B37" s="45" t="n">
        <x:v>1.3</x:v>
      </x:c>
      <x:c r="C37" s="42" t="n">
        <x:v>0.00001</x:v>
      </x:c>
      <x:c r="D37" s="66" t="str">
        <x:v>slender-body</x:v>
      </x:c>
      <x:c r="E37" s="66" t="n">
        <x:v>3</x:v>
      </x:c>
      <x:c r="F37" s="49" t="n">
        <x:v>-1.9193018336543044</x:v>
      </x:c>
      <x:c r="G37" s="66" t="str">
        <x:v>bracketed_CN0_quadratic_CD</x:v>
      </x:c>
      <x:c r="H37" s="42" t="n">
        <x:v>0.043136982847936045</x:v>
      </x:c>
      <x:c r="I37" s="42" t="n">
        <x:v>0.0475</x:v>
      </x:c>
      <x:c r="J37" s="53" t="n">
        <x:v>247.094</x:v>
      </x:c>
      <x:c r="K37" s="55" t="n">
        <x:v>9.69409265443277e-9</x:v>
      </x:c>
      <x:c r="L37" s="66"/>
    </x:row>
    <x:row r="38">
      <x:c r="A38" s="66" t="str">
        <x:v>21k</x:v>
      </x:c>
      <x:c r="B38" s="45" t="n">
        <x:v>1.3</x:v>
      </x:c>
      <x:c r="C38" s="42" t="n">
        <x:v>0.0001</x:v>
      </x:c>
      <x:c r="D38" s="66" t="str">
        <x:v>isentropic</x:v>
      </x:c>
      <x:c r="E38" s="66" t="n">
        <x:v>9</x:v>
      </x:c>
      <x:c r="F38" s="49" t="n">
        <x:v>-0.9683844515818828</x:v>
      </x:c>
      <x:c r="G38" s="66" t="str">
        <x:v>bracketed_CN0_quadratic_CD</x:v>
      </x:c>
      <x:c r="H38" s="42" t="n">
        <x:v>0.030420509964989323</x:v>
      </x:c>
      <x:c r="I38" s="42" t="n">
        <x:v>0.0475</x:v>
      </x:c>
      <x:c r="J38" s="53" t="n">
        <x:v>738.751</x:v>
      </x:c>
      <x:c r="K38" s="55" t="n">
        <x:v>1.02028972130111e-7</x:v>
      </x:c>
      <x:c r="L38" s="66"/>
    </x:row>
    <x:row r="39">
      <x:c r="A39" s="66" t="str">
        <x:v>21k</x:v>
      </x:c>
      <x:c r="B39" s="45" t="n">
        <x:v>1.35</x:v>
      </x:c>
      <x:c r="C39" s="42" t="n">
        <x:v>0.00001</x:v>
      </x:c>
      <x:c r="D39" s="66" t="str">
        <x:v>isentropic</x:v>
      </x:c>
      <x:c r="E39" s="66" t="n">
        <x:v>9</x:v>
      </x:c>
      <x:c r="F39" s="49" t="n">
        <x:v>-0.9563542034664946</x:v>
      </x:c>
      <x:c r="G39" s="66" t="str">
        <x:v>bracketed_CN0_quadratic_CD</x:v>
      </x:c>
      <x:c r="H39" s="42" t="n">
        <x:v>0.016065631938040874</x:v>
      </x:c>
      <x:c r="I39" s="42" t="n">
        <x:v>0.04725</x:v>
      </x:c>
      <x:c r="J39" s="53" t="n">
        <x:v>684.954</x:v>
      </x:c>
      <x:c r="K39" s="55" t="n">
        <x:v>9.87767467607246e-9</x:v>
      </x:c>
      <x:c r="L39" s="66"/>
    </x:row>
    <x:row r="40">
      <x:c r="A40" s="66" t="str">
        <x:v>21k</x:v>
      </x:c>
      <x:c r="B40" s="45" t="n">
        <x:v>1.35</x:v>
      </x:c>
      <x:c r="C40" s="42" t="n">
        <x:v>0.00001</x:v>
      </x:c>
      <x:c r="D40" s="66" t="str">
        <x:v>slender-body</x:v>
      </x:c>
      <x:c r="E40" s="66" t="n">
        <x:v>3</x:v>
      </x:c>
      <x:c r="F40" s="49" t="n">
        <x:v>-1.6919152621144675</x:v>
      </x:c>
      <x:c r="G40" s="66" t="str">
        <x:v>bracketed_CN0_quadratic_CD</x:v>
      </x:c>
      <x:c r="H40" s="42" t="n">
        <x:v>0.026627549479490684</x:v>
      </x:c>
      <x:c r="I40" s="42" t="n">
        <x:v>0.04725</x:v>
      </x:c>
      <x:c r="J40" s="53" t="n">
        <x:v>228.858</x:v>
      </x:c>
      <x:c r="K40" s="55" t="n">
        <x:v>9.81628547093725e-9</x:v>
      </x:c>
      <x:c r="L40" s="66"/>
    </x:row>
    <x:row r="41">
      <x:c r="A41" s="66" t="str">
        <x:v>21k</x:v>
      </x:c>
      <x:c r="B41" s="45" t="n">
        <x:v>1.35</x:v>
      </x:c>
      <x:c r="C41" s="42" t="n">
        <x:v>0.0001</x:v>
      </x:c>
      <x:c r="D41" s="66" t="str">
        <x:v>isentropic</x:v>
      </x:c>
      <x:c r="E41" s="66" t="n">
        <x:v>9</x:v>
      </x:c>
      <x:c r="F41" s="49" t="n">
        <x:v>-0.9574980302766275</x:v>
      </x:c>
      <x:c r="G41" s="66" t="str">
        <x:v>bracketed_CN0_quadratic_CD</x:v>
      </x:c>
      <x:c r="H41" s="42" t="n">
        <x:v>0.016085958232165437</x:v>
      </x:c>
      <x:c r="I41" s="42" t="n">
        <x:v>0.04725</x:v>
      </x:c>
      <x:c r="J41" s="53" t="n">
        <x:v>685.453</x:v>
      </x:c>
      <x:c r="K41" s="55" t="n">
        <x:v>9.87300452816431e-8</x:v>
      </x:c>
      <x:c r="L41" s="66"/>
    </x:row>
    <x:row r="42">
      <x:c r="A42" s="66" t="str">
        <x:v>21k</x:v>
      </x:c>
      <x:c r="B42" s="45" t="n">
        <x:v>1.4</x:v>
      </x:c>
      <x:c r="C42" s="42" t="n">
        <x:v>0.00001</x:v>
      </x:c>
      <x:c r="D42" s="66" t="str">
        <x:v>isentropic</x:v>
      </x:c>
      <x:c r="E42" s="66" t="n">
        <x:v>9</x:v>
      </x:c>
      <x:c r="F42" s="49" t="n">
        <x:v>-0.5010697820150902</x:v>
      </x:c>
      <x:c r="G42" s="66" t="str">
        <x:v>bracketed_CN0_quadratic_CD</x:v>
      </x:c>
      <x:c r="H42" s="42" t="n">
        <x:v>0.01625044741308978</x:v>
      </x:c>
      <x:c r="I42" s="42" t="n">
        <x:v>0.047</x:v>
      </x:c>
      <x:c r="J42" s="53" t="n">
        <x:v>633.218</x:v>
      </x:c>
      <x:c r="K42" s="55" t="n">
        <x:v>9.9396688928185e-9</x:v>
      </x:c>
      <x:c r="L42" s="66"/>
    </x:row>
    <x:row r="43">
      <x:c r="A43" s="66" t="str">
        <x:v>21k</x:v>
      </x:c>
      <x:c r="B43" s="45" t="n">
        <x:v>1.4</x:v>
      </x:c>
      <x:c r="C43" s="42" t="n">
        <x:v>0.00001</x:v>
      </x:c>
      <x:c r="D43" s="66" t="str">
        <x:v>slender-body</x:v>
      </x:c>
      <x:c r="E43" s="66" t="n">
        <x:v>3</x:v>
      </x:c>
      <x:c r="F43" s="49" t="n">
        <x:v>-1.8688438732819213</x:v>
      </x:c>
      <x:c r="G43" s="66" t="str">
        <x:v>bracketed_CN0_quadratic_CD</x:v>
      </x:c>
      <x:c r="H43" s="42" t="n">
        <x:v>0.026070360231536544</x:v>
      </x:c>
      <x:c r="I43" s="42" t="n">
        <x:v>0.047</x:v>
      </x:c>
      <x:c r="J43" s="53" t="n">
        <x:v>210.405</x:v>
      </x:c>
      <x:c r="K43" s="55" t="n">
        <x:v>9.33999637839649e-9</x:v>
      </x:c>
      <x:c r="L43" s="66"/>
    </x:row>
    <x:row r="44">
      <x:c r="A44" s="66" t="str">
        <x:v>21k</x:v>
      </x:c>
      <x:c r="B44" s="45" t="n">
        <x:v>1.4</x:v>
      </x:c>
      <x:c r="C44" s="42" t="n">
        <x:v>0.0001</x:v>
      </x:c>
      <x:c r="D44" s="66" t="str">
        <x:v>isentropic</x:v>
      </x:c>
      <x:c r="E44" s="66" t="n">
        <x:v>9</x:v>
      </x:c>
      <x:c r="F44" s="49" t="n">
        <x:v>-0.5024855904293611</x:v>
      </x:c>
      <x:c r="G44" s="66" t="str">
        <x:v>bracketed_CN0_quadratic_CD</x:v>
      </x:c>
      <x:c r="H44" s="42" t="n">
        <x:v>0.016248714928968174</x:v>
      </x:c>
      <x:c r="I44" s="42" t="n">
        <x:v>0.047</x:v>
      </x:c>
      <x:c r="J44" s="53" t="n">
        <x:v>633.89</x:v>
      </x:c>
      <x:c r="K44" s="55" t="n">
        <x:v>9.93863800232145e-8</x:v>
      </x:c>
      <x:c r="L44" s="66"/>
    </x:row>
    <x:row r="45">
      <x:c r="A45" s="66" t="str">
        <x:v>21k</x:v>
      </x:c>
      <x:c r="B45" s="45" t="n">
        <x:v>1.45</x:v>
      </x:c>
      <x:c r="C45" s="42" t="n">
        <x:v>0.00001</x:v>
      </x:c>
      <x:c r="D45" s="66" t="str">
        <x:v>isentropic</x:v>
      </x:c>
      <x:c r="E45" s="66" t="n">
        <x:v>9</x:v>
      </x:c>
      <x:c r="F45" s="49" t="n">
        <x:v>-0.03181688641337621</x:v>
      </x:c>
      <x:c r="G45" s="66" t="str">
        <x:v>bracketed_CN0_quadratic_CD</x:v>
      </x:c>
      <x:c r="H45" s="42" t="n">
        <x:v>0.019687481325804026</x:v>
      </x:c>
      <x:c r="I45" s="42" t="n">
        <x:v>0.0465</x:v>
      </x:c>
      <x:c r="J45" s="53" t="n">
        <x:v>585.766</x:v>
      </x:c>
      <x:c r="K45" s="55" t="n">
        <x:v>9.20872682110518e-9</x:v>
      </x:c>
      <x:c r="L45" s="66"/>
    </x:row>
    <x:row r="46">
      <x:c r="A46" s="66" t="str">
        <x:v>21k</x:v>
      </x:c>
      <x:c r="B46" s="45" t="n">
        <x:v>1.45</x:v>
      </x:c>
      <x:c r="C46" s="42" t="n">
        <x:v>0.00001</x:v>
      </x:c>
      <x:c r="D46" s="66" t="str">
        <x:v>slender-body</x:v>
      </x:c>
      <x:c r="E46" s="66" t="n">
        <x:v>3</x:v>
      </x:c>
      <x:c r="F46" s="49" t="n">
        <x:v>-0.9447253273795029</x:v>
      </x:c>
      <x:c r="G46" s="66" t="str">
        <x:v>bracketed_CN0_quadratic_CD</x:v>
      </x:c>
      <x:c r="H46" s="42" t="n">
        <x:v>0.033102314653307735</x:v>
      </x:c>
      <x:c r="I46" s="42" t="n">
        <x:v>0.0465</x:v>
      </x:c>
      <x:c r="J46" s="53" t="n">
        <x:v>194.34300000000002</x:v>
      </x:c>
      <x:c r="K46" s="55" t="n">
        <x:v>9.1855306814858e-9</x:v>
      </x:c>
      <x:c r="L46" s="66"/>
    </x:row>
    <x:row r="47">
      <x:c r="A47" s="66" t="str">
        <x:v>21k</x:v>
      </x:c>
      <x:c r="B47" s="45" t="n">
        <x:v>1.45</x:v>
      </x:c>
      <x:c r="C47" s="42" t="n">
        <x:v>0.0001</x:v>
      </x:c>
      <x:c r="D47" s="66" t="str">
        <x:v>isentropic</x:v>
      </x:c>
      <x:c r="E47" s="66" t="n">
        <x:v>9</x:v>
      </x:c>
      <x:c r="F47" s="49" t="n">
        <x:v>-0.03277715441752371</x:v>
      </x:c>
      <x:c r="G47" s="66" t="str">
        <x:v>bracketed_CN0_quadratic_CD</x:v>
      </x:c>
      <x:c r="H47" s="42" t="n">
        <x:v>0.019694917790219098</x:v>
      </x:c>
      <x:c r="I47" s="42" t="n">
        <x:v>0.0465</x:v>
      </x:c>
      <x:c r="J47" s="53" t="n">
        <x:v>588.346</x:v>
      </x:c>
      <x:c r="K47" s="55" t="n">
        <x:v>9.22317140958694e-8</x:v>
      </x:c>
      <x:c r="L47" s="66"/>
    </x:row>
    <x:row r="48">
      <x:c r="A48" s="66" t="str">
        <x:v>21k</x:v>
      </x:c>
      <x:c r="B48" s="45" t="n">
        <x:v>1.5</x:v>
      </x:c>
      <x:c r="C48" s="42" t="n">
        <x:v>0.00001</x:v>
      </x:c>
      <x:c r="D48" s="66" t="str">
        <x:v>isentropic</x:v>
      </x:c>
      <x:c r="E48" s="66" t="n">
        <x:v>13</x:v>
      </x:c>
      <x:c r="F48" s="49" t="n">
        <x:v>2</x:v>
      </x:c>
      <x:c r="G48" s="66" t="str">
        <x:v>fallback_central_CN</x:v>
      </x:c>
      <x:c r="H48" s="42" t="n">
        <x:v>0.019543798089547496</x:v>
      </x:c>
      <x:c r="I48" s="42" t="n">
        <x:v>0.046</x:v>
      </x:c>
      <x:c r="J48" s="53" t="n">
        <x:v>776.69</x:v>
      </x:c>
      <x:c r="K48" s="55" t="n">
        <x:v>9.08296115843537e-9</x:v>
      </x:c>
      <x:c r="L48" s="66"/>
    </x:row>
    <x:row r="49">
      <x:c r="A49" s="66" t="str">
        <x:v>21k</x:v>
      </x:c>
      <x:c r="B49" s="45" t="n">
        <x:v>1.5</x:v>
      </x:c>
      <x:c r="C49" s="42" t="n">
        <x:v>0.00001</x:v>
      </x:c>
      <x:c r="D49" s="66" t="str">
        <x:v>slender-body</x:v>
      </x:c>
      <x:c r="E49" s="66" t="n">
        <x:v>3</x:v>
      </x:c>
      <x:c r="F49" s="49" t="n">
        <x:v>-0.17127450770539965</x:v>
      </x:c>
      <x:c r="G49" s="66" t="str">
        <x:v>bracketed_CN0_quadratic_CD</x:v>
      </x:c>
      <x:c r="H49" s="42" t="n">
        <x:v>0.034609238654824064</x:v>
      </x:c>
      <x:c r="I49" s="42" t="n">
        <x:v>0.046</x:v>
      </x:c>
      <x:c r="J49" s="53" t="n">
        <x:v>179.422</x:v>
      </x:c>
      <x:c r="K49" s="55" t="n">
        <x:v>8.89683895387988e-9</x:v>
      </x:c>
      <x:c r="L49" s="66"/>
    </x:row>
    <x:row r="50">
      <x:c r="A50" s="66" t="str">
        <x:v>21k</x:v>
      </x:c>
      <x:c r="B50" s="45" t="n">
        <x:v>1.5</x:v>
      </x:c>
      <x:c r="C50" s="42" t="n">
        <x:v>0.0001</x:v>
      </x:c>
      <x:c r="D50" s="66" t="str">
        <x:v>isentropic</x:v>
      </x:c>
      <x:c r="E50" s="66" t="n">
        <x:v>6</x:v>
      </x:c>
      <x:c r="F50" s="49" t="n">
        <x:v>1.617725436467792</x:v>
      </x:c>
      <x:c r="G50" s="66" t="str">
        <x:v>fallback_central_CN</x:v>
      </x:c>
      <x:c r="H50" s="42" t="n">
        <x:v>0.01834149134915443</x:v>
      </x:c>
      <x:c r="I50" s="42" t="n">
        <x:v>0.046</x:v>
      </x:c>
      <x:c r="J50" s="53" t="n">
        <x:v>363.734</x:v>
      </x:c>
      <x:c r="K50" s="55" t="n">
        <x:v>8.908095762367e-8</x:v>
      </x:c>
      <x:c r="L50" s="66"/>
    </x:row>
    <x:row r="51">
      <x:c r="A51" s="66" t="str">
        <x:v>21k</x:v>
      </x:c>
      <x:c r="B51" s="45" t="n">
        <x:v>1.55</x:v>
      </x:c>
      <x:c r="C51" s="42" t="n">
        <x:v>0.00001</x:v>
      </x:c>
      <x:c r="D51" s="66" t="str">
        <x:v>isentropic</x:v>
      </x:c>
      <x:c r="E51" s="66" t="n">
        <x:v>2</x:v>
      </x:c>
      <x:c r="F51" s="49" t="n">
        <x:v>0</x:v>
      </x:c>
      <x:c r="G51" s="66" t="str">
        <x:v>fallback_alpha0</x:v>
      </x:c>
      <x:c r="H51" s="42" t="n">
        <x:v>0.02840596770868</x:v>
      </x:c>
      <x:c r="I51" s="42" t="n">
        <x:v>0.0455</x:v>
      </x:c>
      <x:c r="J51" s="53" t="n">
        <x:v>113.063</x:v>
      </x:c>
      <x:c r="K51" s="55" t="n">
        <x:v>8.31293213732688e-9</x:v>
      </x:c>
      <x:c r="L51" s="66"/>
    </x:row>
    <x:row r="52">
      <x:c r="A52" s="66" t="str">
        <x:v>21k</x:v>
      </x:c>
      <x:c r="B52" s="45" t="n">
        <x:v>1.55</x:v>
      </x:c>
      <x:c r="C52" s="42" t="n">
        <x:v>0.00001</x:v>
      </x:c>
      <x:c r="D52" s="66" t="str">
        <x:v>slender-body</x:v>
      </x:c>
      <x:c r="E52" s="66" t="n">
        <x:v>1</x:v>
      </x:c>
      <x:c r="F52" s="49" t="n">
        <x:v>0</x:v>
      </x:c>
      <x:c r="G52" s="66" t="str">
        <x:v>fallback_alpha0</x:v>
      </x:c>
      <x:c r="H52" s="42" t="n">
        <x:v>0.0352216181739837</x:v>
      </x:c>
      <x:c r="I52" s="42" t="n">
        <x:v>0.0455</x:v>
      </x:c>
      <x:c r="J52" s="53" t="n">
        <x:v>55.859</x:v>
      </x:c>
      <x:c r="K52" s="55" t="n">
        <x:v>8.31293213732688e-9</x:v>
      </x:c>
      <x:c r="L52" s="66"/>
    </x:row>
    <x:row r="53">
      <x:c r="A53" s="66" t="str">
        <x:v>21k</x:v>
      </x:c>
      <x:c r="B53" s="45" t="n">
        <x:v>1.55</x:v>
      </x:c>
      <x:c r="C53" s="42" t="n">
        <x:v>0.0001</x:v>
      </x:c>
      <x:c r="D53" s="66" t="str">
        <x:v>isentropic</x:v>
      </x:c>
      <x:c r="E53" s="66" t="n">
        <x:v>1</x:v>
      </x:c>
      <x:c r="F53" s="49" t="n">
        <x:v>0</x:v>
      </x:c>
      <x:c r="G53" s="66" t="str">
        <x:v>fallback_alpha0</x:v>
      </x:c>
      <x:c r="H53" s="42" t="n">
        <x:v>0.0176343539273504</x:v>
      </x:c>
      <x:c r="I53" s="42" t="n">
        <x:v>0.0455</x:v>
      </x:c>
      <x:c r="J53" s="53" t="n">
        <x:v>56.781</x:v>
      </x:c>
      <x:c r="K53" s="55" t="n">
        <x:v>8.32909496373311e-8</x:v>
      </x:c>
      <x:c r="L53" s="66"/>
    </x:row>
    <x:row r="54">
      <x:c r="A54" s="66" t="str">
        <x:v>7k</x:v>
      </x:c>
      <x:c r="B54" s="45" t="n">
        <x:v>1.1</x:v>
      </x:c>
      <x:c r="C54" s="42" t="n">
        <x:v>0.00001</x:v>
      </x:c>
      <x:c r="D54" s="66" t="str">
        <x:v>isentropic</x:v>
      </x:c>
      <x:c r="E54" s="66" t="n">
        <x:v>5</x:v>
      </x:c>
      <x:c r="F54" s="49" t="n">
        <x:v>-2.747148564525414</x:v>
      </x:c>
      <x:c r="G54" s="66" t="str">
        <x:v>bracketed_CN0_quadratic_CD</x:v>
      </x:c>
      <x:c r="H54" s="42" t="n">
        <x:v>0.05918249143902808</x:v>
      </x:c>
      <x:c r="I54" s="42" t="n">
        <x:v>0.048</x:v>
      </x:c>
      <x:c r="J54" s="53" t="n">
        <x:v>67.671</x:v>
      </x:c>
      <x:c r="K54" s="55" t="n">
        <x:v>4.50188630950627e-9</x:v>
      </x:c>
      <x:c r="L54" s="66"/>
    </x:row>
    <x:row r="55">
      <x:c r="A55" s="66" t="str">
        <x:v>7k</x:v>
      </x:c>
      <x:c r="B55" s="45" t="n">
        <x:v>1.1</x:v>
      </x:c>
      <x:c r="C55" s="42" t="n">
        <x:v>0.0001</x:v>
      </x:c>
      <x:c r="D55" s="66" t="str">
        <x:v>isentropic</x:v>
      </x:c>
      <x:c r="E55" s="66" t="n">
        <x:v>5</x:v>
      </x:c>
      <x:c r="F55" s="49" t="n">
        <x:v>-2.746757768605602</x:v>
      </x:c>
      <x:c r="G55" s="66" t="str">
        <x:v>bracketed_CN0_quadratic_CD</x:v>
      </x:c>
      <x:c r="H55" s="42" t="n">
        <x:v>0.05918699250879381</x:v>
      </x:c>
      <x:c r="I55" s="42" t="n">
        <x:v>0.048</x:v>
      </x:c>
      <x:c r="J55" s="53" t="n">
        <x:v>55.781</x:v>
      </x:c>
      <x:c r="K55" s="55" t="n">
        <x:v>4.49584781543364e-8</x:v>
      </x:c>
      <x:c r="L55" s="66"/>
    </x:row>
    <x:row r="56">
      <x:c r="A56" s="66" t="str">
        <x:v>7k</x:v>
      </x:c>
      <x:c r="B56" s="45" t="n">
        <x:v>1.15</x:v>
      </x:c>
      <x:c r="C56" s="42" t="n">
        <x:v>0.00001</x:v>
      </x:c>
      <x:c r="D56" s="66" t="str">
        <x:v>isentropic</x:v>
      </x:c>
      <x:c r="E56" s="66" t="n">
        <x:v>5</x:v>
      </x:c>
      <x:c r="F56" s="49" t="n">
        <x:v>-3.1566859893898105</x:v>
      </x:c>
      <x:c r="G56" s="66" t="str">
        <x:v>bracketed_CN0_quadratic_CD</x:v>
      </x:c>
      <x:c r="H56" s="42" t="n">
        <x:v>0.05424486380527034</x:v>
      </x:c>
      <x:c r="I56" s="42" t="n">
        <x:v>0.048</x:v>
      </x:c>
      <x:c r="J56" s="53" t="n">
        <x:v>51.906</x:v>
      </x:c>
      <x:c r="K56" s="55" t="n">
        <x:v>5.41212296182506e-9</x:v>
      </x:c>
      <x:c r="L56" s="66"/>
    </x:row>
    <x:row r="57">
      <x:c r="A57" s="66" t="str">
        <x:v>7k</x:v>
      </x:c>
      <x:c r="B57" s="45" t="n">
        <x:v>1.15</x:v>
      </x:c>
      <x:c r="C57" s="42" t="n">
        <x:v>0.0001</x:v>
      </x:c>
      <x:c r="D57" s="66" t="str">
        <x:v>isentropic</x:v>
      </x:c>
      <x:c r="E57" s="66" t="n">
        <x:v>5</x:v>
      </x:c>
      <x:c r="F57" s="49" t="n">
        <x:v>-3.1559990728826697</x:v>
      </x:c>
      <x:c r="G57" s="66" t="str">
        <x:v>bracketed_CN0_quadratic_CD</x:v>
      </x:c>
      <x:c r="H57" s="42" t="n">
        <x:v>0.054249539113511616</x:v>
      </x:c>
      <x:c r="I57" s="42" t="n">
        <x:v>0.048</x:v>
      </x:c>
      <x:c r="J57" s="53" t="n">
        <x:v>50.204</x:v>
      </x:c>
      <x:c r="K57" s="55" t="n">
        <x:v>5.40760647797831e-8</x:v>
      </x:c>
      <x:c r="L57" s="66"/>
    </x:row>
    <x:row r="58">
      <x:c r="A58" s="66" t="str">
        <x:v>7k</x:v>
      </x:c>
      <x:c r="B58" s="45" t="n">
        <x:v>1.2</x:v>
      </x:c>
      <x:c r="C58" s="42" t="n">
        <x:v>0.00001</x:v>
      </x:c>
      <x:c r="D58" s="66" t="str">
        <x:v>isentropic</x:v>
      </x:c>
      <x:c r="E58" s="66" t="n">
        <x:v>12</x:v>
      </x:c>
      <x:c r="F58" s="49" t="n">
        <x:v>1.1475053153162864</x:v>
      </x:c>
      <x:c r="G58" s="66" t="str">
        <x:v>bracketed_CN0_quadratic_CD</x:v>
      </x:c>
      <x:c r="H58" s="42" t="n">
        <x:v>0.05935492952119718</x:v>
      </x:c>
      <x:c r="I58" s="42" t="n">
        <x:v>0.048</x:v>
      </x:c>
      <x:c r="J58" s="53" t="n">
        <x:v>110.201</x:v>
      </x:c>
      <x:c r="K58" s="55" t="n">
        <x:v>6.13440863743544e-9</x:v>
      </x:c>
      <x:c r="L58" s="66"/>
    </x:row>
    <x:row r="59">
      <x:c r="A59" s="66" t="str">
        <x:v>7k</x:v>
      </x:c>
      <x:c r="B59" s="45" t="n">
        <x:v>1.2</x:v>
      </x:c>
      <x:c r="C59" s="42" t="n">
        <x:v>0.0001</x:v>
      </x:c>
      <x:c r="D59" s="66" t="str">
        <x:v>isentropic</x:v>
      </x:c>
      <x:c r="E59" s="66" t="n">
        <x:v>12</x:v>
      </x:c>
      <x:c r="F59" s="49" t="n">
        <x:v>1.1474716374183973</x:v>
      </x:c>
      <x:c r="G59" s="66" t="str">
        <x:v>bracketed_CN0_quadratic_CD</x:v>
      </x:c>
      <x:c r="H59" s="42" t="n">
        <x:v>0.05935657654765149</x:v>
      </x:c>
      <x:c r="I59" s="42" t="n">
        <x:v>0.048</x:v>
      </x:c>
      <x:c r="J59" s="53" t="n">
        <x:v>110.169</x:v>
      </x:c>
      <x:c r="K59" s="55" t="n">
        <x:v>6.13124399366502e-8</x:v>
      </x:c>
      <x:c r="L59" s="66"/>
    </x:row>
    <x:row r="60">
      <x:c r="A60" s="66" t="str">
        <x:v>7k</x:v>
      </x:c>
      <x:c r="B60" s="45" t="n">
        <x:v>1.25</x:v>
      </x:c>
      <x:c r="C60" s="42" t="n">
        <x:v>0.00001</x:v>
      </x:c>
      <x:c r="D60" s="66" t="str">
        <x:v>isentropic</x:v>
      </x:c>
      <x:c r="E60" s="66" t="n">
        <x:v>13</x:v>
      </x:c>
      <x:c r="F60" s="49" t="n">
        <x:v>0.07248686236812696</x:v>
      </x:c>
      <x:c r="G60" s="66" t="str">
        <x:v>bracketed_CN0_quadratic_CD</x:v>
      </x:c>
      <x:c r="H60" s="42" t="n">
        <x:v>0.056733474849869785</x:v>
      </x:c>
      <x:c r="I60" s="42" t="n">
        <x:v>0.04775</x:v>
      </x:c>
      <x:c r="J60" s="53" t="n">
        <x:v>112.06099999999999</x:v>
      </x:c>
      <x:c r="K60" s="55" t="n">
        <x:v>6.57333101510161e-9</x:v>
      </x:c>
      <x:c r="L60" s="66"/>
    </x:row>
    <x:row r="61">
      <x:c r="A61" s="66" t="str">
        <x:v>7k</x:v>
      </x:c>
      <x:c r="B61" s="45" t="n">
        <x:v>1.25</x:v>
      </x:c>
      <x:c r="C61" s="42" t="n">
        <x:v>0.0001</x:v>
      </x:c>
      <x:c r="D61" s="66" t="str">
        <x:v>isentropic</x:v>
      </x:c>
      <x:c r="E61" s="66" t="n">
        <x:v>13</x:v>
      </x:c>
      <x:c r="F61" s="49" t="n">
        <x:v>0.07348233983686067</x:v>
      </x:c>
      <x:c r="G61" s="66" t="str">
        <x:v>bracketed_CN0_quadratic_CD</x:v>
      </x:c>
      <x:c r="H61" s="42" t="n">
        <x:v>0.056729988207379706</x:v>
      </x:c>
      <x:c r="I61" s="42" t="n">
        <x:v>0.04775</x:v>
      </x:c>
      <x:c r="J61" s="53" t="n">
        <x:v>112.734</x:v>
      </x:c>
      <x:c r="K61" s="55" t="n">
        <x:v>6.57309879098745e-8</x:v>
      </x:c>
      <x:c r="L61" s="66"/>
    </x:row>
    <x:row r="62">
      <x:c r="A62" s="66" t="str">
        <x:v>7k</x:v>
      </x:c>
      <x:c r="B62" s="45" t="n">
        <x:v>1.3</x:v>
      </x:c>
      <x:c r="C62" s="42" t="n">
        <x:v>0.00001</x:v>
      </x:c>
      <x:c r="D62" s="66" t="str">
        <x:v>isentropic</x:v>
      </x:c>
      <x:c r="E62" s="66" t="n">
        <x:v>5</x:v>
      </x:c>
      <x:c r="F62" s="49" t="n">
        <x:v>0.2587836701641619</x:v>
      </x:c>
      <x:c r="G62" s="66" t="str">
        <x:v>bracketed_CN0_quadratic_CD</x:v>
      </x:c>
      <x:c r="H62" s="42" t="n">
        <x:v>0.0528283563210937</x:v>
      </x:c>
      <x:c r="I62" s="42" t="n">
        <x:v>0.0475</x:v>
      </x:c>
      <x:c r="J62" s="53" t="n">
        <x:v>42.282</x:v>
      </x:c>
      <x:c r="K62" s="55" t="n">
        <x:v>6.75552261391648e-9</x:v>
      </x:c>
      <x:c r="L62" s="66"/>
    </x:row>
    <x:row r="63">
      <x:c r="A63" s="66" t="str">
        <x:v>7k</x:v>
      </x:c>
      <x:c r="B63" s="45" t="n">
        <x:v>1.3</x:v>
      </x:c>
      <x:c r="C63" s="42" t="n">
        <x:v>0.0001</x:v>
      </x:c>
      <x:c r="D63" s="66" t="str">
        <x:v>isentropic</x:v>
      </x:c>
      <x:c r="E63" s="66" t="n">
        <x:v>5</x:v>
      </x:c>
      <x:c r="F63" s="49" t="n">
        <x:v>0.26017583567595964</x:v>
      </x:c>
      <x:c r="G63" s="66" t="str">
        <x:v>bracketed_CN0_quadratic_CD</x:v>
      </x:c>
      <x:c r="H63" s="42" t="n">
        <x:v>0.05282786260889325</x:v>
      </x:c>
      <x:c r="I63" s="42" t="n">
        <x:v>0.0475</x:v>
      </x:c>
      <x:c r="J63" s="53" t="n">
        <x:v>43.095</x:v>
      </x:c>
      <x:c r="K63" s="55" t="n">
        <x:v>6.75888931534183e-8</x:v>
      </x:c>
      <x:c r="L63" s="66"/>
    </x:row>
    <x:row r="64">
      <x:c r="A64" s="66" t="str">
        <x:v>7k</x:v>
      </x:c>
      <x:c r="B64" s="45" t="n">
        <x:v>1.35</x:v>
      </x:c>
      <x:c r="C64" s="42" t="n">
        <x:v>0.00001</x:v>
      </x:c>
      <x:c r="D64" s="66" t="str">
        <x:v>isentropic</x:v>
      </x:c>
      <x:c r="E64" s="66" t="n">
        <x:v>5</x:v>
      </x:c>
      <x:c r="F64" s="49" t="n">
        <x:v>0.261051179033958</x:v>
      </x:c>
      <x:c r="G64" s="66" t="str">
        <x:v>bracketed_CN0_quadratic_CD</x:v>
      </x:c>
      <x:c r="H64" s="42" t="n">
        <x:v>0.04988315744174927</x:v>
      </x:c>
      <x:c r="I64" s="42" t="n">
        <x:v>0.04725</x:v>
      </x:c>
      <x:c r="J64" s="53" t="n">
        <x:v>39.47</x:v>
      </x:c>
      <x:c r="K64" s="55" t="n">
        <x:v>6.81642918649435e-9</x:v>
      </x:c>
      <x:c r="L64" s="66"/>
    </x:row>
    <x:row r="65">
      <x:c r="A65" s="66" t="str">
        <x:v>7k</x:v>
      </x:c>
      <x:c r="B65" s="45" t="n">
        <x:v>1.35</x:v>
      </x:c>
      <x:c r="C65" s="42" t="n">
        <x:v>0.0001</x:v>
      </x:c>
      <x:c r="D65" s="66" t="str">
        <x:v>isentropic</x:v>
      </x:c>
      <x:c r="E65" s="66" t="n">
        <x:v>5</x:v>
      </x:c>
      <x:c r="F65" s="49" t="n">
        <x:v>0.26626764912705336</x:v>
      </x:c>
      <x:c r="G65" s="66" t="str">
        <x:v>bracketed_CN0_quadratic_CD</x:v>
      </x:c>
      <x:c r="H65" s="42" t="n">
        <x:v>0.04990052734928254</x:v>
      </x:c>
      <x:c r="I65" s="42" t="n">
        <x:v>0.04725</x:v>
      </x:c>
      <x:c r="J65" s="53" t="n">
        <x:v>39.359</x:v>
      </x:c>
      <x:c r="K65" s="55" t="n">
        <x:v>6.82334578983795e-8</x:v>
      </x:c>
      <x:c r="L65" s="66"/>
    </x:row>
    <x:row r="66">
      <x:c r="A66" s="66" t="str">
        <x:v>7k</x:v>
      </x:c>
      <x:c r="B66" s="45" t="n">
        <x:v>1.4</x:v>
      </x:c>
      <x:c r="C66" s="42" t="n">
        <x:v>0.00001</x:v>
      </x:c>
      <x:c r="D66" s="66" t="str">
        <x:v>isentropic</x:v>
      </x:c>
      <x:c r="E66" s="66" t="n">
        <x:v>5</x:v>
      </x:c>
      <x:c r="F66" s="49" t="n">
        <x:v>-0.23651658024356093</x:v>
      </x:c>
      <x:c r="G66" s="66" t="str">
        <x:v>bracketed_CN0_quadratic_CD</x:v>
      </x:c>
      <x:c r="H66" s="42" t="n">
        <x:v>0.04724191868221813</x:v>
      </x:c>
      <x:c r="I66" s="42" t="n">
        <x:v>0.047</x:v>
      </x:c>
      <x:c r="J66" s="53" t="n">
        <x:v>64.657</x:v>
      </x:c>
      <x:c r="K66" s="55" t="n">
        <x:v>6.75076094321438e-9</x:v>
      </x:c>
      <x:c r="L66" s="66"/>
    </x:row>
    <x:row r="67">
      <x:c r="A67" s="66" t="str">
        <x:v>7k</x:v>
      </x:c>
      <x:c r="B67" s="45" t="n">
        <x:v>1.4</x:v>
      </x:c>
      <x:c r="C67" s="42" t="n">
        <x:v>0.0001</x:v>
      </x:c>
      <x:c r="D67" s="66" t="str">
        <x:v>isentropic</x:v>
      </x:c>
      <x:c r="E67" s="66" t="n">
        <x:v>5</x:v>
      </x:c>
      <x:c r="F67" s="49" t="n">
        <x:v>-0.2354546514775735</x:v>
      </x:c>
      <x:c r="G67" s="66" t="str">
        <x:v>bracketed_CN0_quadratic_CD</x:v>
      </x:c>
      <x:c r="H67" s="42" t="n">
        <x:v>0.04722861427732033</x:v>
      </x:c>
      <x:c r="I67" s="42" t="n">
        <x:v>0.047</x:v>
      </x:c>
      <x:c r="J67" s="53" t="n">
        <x:v>63.922</x:v>
      </x:c>
      <x:c r="K67" s="55" t="n">
        <x:v>6.76203727987862e-8</x:v>
      </x:c>
      <x:c r="L67" s="66"/>
    </x:row>
    <x:row r="68">
      <x:c r="A68" s="66" t="str">
        <x:v>7k</x:v>
      </x:c>
      <x:c r="B68" s="45" t="n">
        <x:v>1.45</x:v>
      </x:c>
      <x:c r="C68" s="42" t="n">
        <x:v>0.00001</x:v>
      </x:c>
      <x:c r="D68" s="66" t="str">
        <x:v>isentropic</x:v>
      </x:c>
      <x:c r="E68" s="66" t="n">
        <x:v>5</x:v>
      </x:c>
      <x:c r="F68" s="49" t="n">
        <x:v>-0.6916832915871787</x:v>
      </x:c>
      <x:c r="G68" s="66" t="str">
        <x:v>bracketed_CN0_quadratic_CD</x:v>
      </x:c>
      <x:c r="H68" s="42" t="n">
        <x:v>0.050126929599017524</x:v>
      </x:c>
      <x:c r="I68" s="42" t="n">
        <x:v>0.0465</x:v>
      </x:c>
      <x:c r="J68" s="53" t="n">
        <x:v>59.578</x:v>
      </x:c>
      <x:c r="K68" s="55" t="n">
        <x:v>6.57060278563537e-9</x:v>
      </x:c>
      <x:c r="L68" s="66"/>
    </x:row>
    <x:row r="69">
      <x:c r="A69" s="66" t="str">
        <x:v>7k</x:v>
      </x:c>
      <x:c r="B69" s="45" t="n">
        <x:v>1.45</x:v>
      </x:c>
      <x:c r="C69" s="42" t="n">
        <x:v>0.0001</x:v>
      </x:c>
      <x:c r="D69" s="66" t="str">
        <x:v>isentropic</x:v>
      </x:c>
      <x:c r="E69" s="66" t="n">
        <x:v>5</x:v>
      </x:c>
      <x:c r="F69" s="49" t="n">
        <x:v>-0.6921561862368131</x:v>
      </x:c>
      <x:c r="G69" s="66" t="str">
        <x:v>bracketed_CN0_quadratic_CD</x:v>
      </x:c>
      <x:c r="H69" s="42" t="n">
        <x:v>0.05013571604153414</x:v>
      </x:c>
      <x:c r="I69" s="42" t="n">
        <x:v>0.0465</x:v>
      </x:c>
      <x:c r="J69" s="53" t="n">
        <x:v>55.672</x:v>
      </x:c>
      <x:c r="K69" s="55" t="n">
        <x:v>6.58696436405441e-8</x:v>
      </x:c>
      <x:c r="L69" s="66"/>
    </x:row>
    <x:row r="70">
      <x:c r="A70" s="66" t="str">
        <x:v>7k</x:v>
      </x:c>
      <x:c r="B70" s="45" t="n">
        <x:v>1.5</x:v>
      </x:c>
      <x:c r="C70" s="42" t="n">
        <x:v>0.00001</x:v>
      </x:c>
      <x:c r="D70" s="66" t="str">
        <x:v>isentropic</x:v>
      </x:c>
      <x:c r="E70" s="66" t="n">
        <x:v>13</x:v>
      </x:c>
      <x:c r="F70" s="49" t="n">
        <x:v>-1.1583673382112158</x:v>
      </x:c>
      <x:c r="G70" s="66" t="str">
        <x:v>bracketed_CN0_quadratic_CD</x:v>
      </x:c>
      <x:c r="H70" s="42" t="n">
        <x:v>0.05326569496543397</x:v>
      </x:c>
      <x:c r="I70" s="42" t="n">
        <x:v>0.046</x:v>
      </x:c>
      <x:c r="J70" s="53" t="n">
        <x:v>95.796</x:v>
      </x:c>
      <x:c r="K70" s="55" t="n">
        <x:v>6.28383810845235e-9</x:v>
      </x:c>
      <x:c r="L70" s="66"/>
    </x:row>
    <x:row r="71">
      <x:c r="A71" s="66" t="str">
        <x:v>7k</x:v>
      </x:c>
      <x:c r="B71" s="45" t="n">
        <x:v>1.5</x:v>
      </x:c>
      <x:c r="C71" s="42" t="n">
        <x:v>0.0001</x:v>
      </x:c>
      <x:c r="D71" s="66" t="str">
        <x:v>isentropic</x:v>
      </x:c>
      <x:c r="E71" s="66" t="n">
        <x:v>13</x:v>
      </x:c>
      <x:c r="F71" s="49" t="n">
        <x:v>-1.1583314882735702</x:v>
      </x:c>
      <x:c r="G71" s="66" t="str">
        <x:v>bracketed_CN0_quadratic_CD</x:v>
      </x:c>
      <x:c r="H71" s="42" t="n">
        <x:v>0.053261497430042236</x:v>
      </x:c>
      <x:c r="I71" s="42" t="n">
        <x:v>0.046</x:v>
      </x:c>
      <x:c r="J71" s="53" t="n">
        <x:v>102.248</x:v>
      </x:c>
      <x:c r="K71" s="55" t="n">
        <x:v>6.30580947266508e-8</x:v>
      </x:c>
      <x:c r="L71" s="66"/>
    </x:row>
    <x:row r="72">
      <x:c r="A72" s="66" t="str">
        <x:v>7k</x:v>
      </x:c>
      <x:c r="B72" s="45" t="n">
        <x:v>1.55</x:v>
      </x:c>
      <x:c r="C72" s="42" t="n">
        <x:v>0.00001</x:v>
      </x:c>
      <x:c r="D72" s="66" t="str">
        <x:v>isentropic</x:v>
      </x:c>
      <x:c r="E72" s="66" t="n">
        <x:v>11</x:v>
      </x:c>
      <x:c r="F72" s="49" t="n">
        <x:v>-0.6214382528359319</x:v>
      </x:c>
      <x:c r="G72" s="66" t="str">
        <x:v>bracketed_CN0_quadratic_CD</x:v>
      </x:c>
      <x:c r="H72" s="42" t="n">
        <x:v>0.051857168594676005</x:v>
      </x:c>
      <x:c r="I72" s="42" t="n">
        <x:v>0.0455</x:v>
      </x:c>
      <x:c r="J72" s="53" t="n">
        <x:v>78.156</x:v>
      </x:c>
      <x:c r="K72" s="55" t="n">
        <x:v>5.09175747297293e-9</x:v>
      </x:c>
      <x:c r="L72" s="66"/>
    </x:row>
    <x:row r="73">
      <x:c r="A73" s="69" t="str">
        <x:v>7k</x:v>
      </x:c>
      <x:c r="B73" s="75" t="n">
        <x:v>1.55</x:v>
      </x:c>
      <x:c r="C73" s="72" t="n">
        <x:v>0.0001</x:v>
      </x:c>
      <x:c r="D73" s="69" t="str">
        <x:v>isentropic</x:v>
      </x:c>
      <x:c r="E73" s="69" t="n">
        <x:v>11</x:v>
      </x:c>
      <x:c r="F73" s="76" t="n">
        <x:v>-0.6200010625709736</x:v>
      </x:c>
      <x:c r="G73" s="69" t="str">
        <x:v>bracketed_CN0_quadratic_CD</x:v>
      </x:c>
      <x:c r="H73" s="72" t="n">
        <x:v>0.05185375585470263</x:v>
      </x:c>
      <x:c r="I73" s="72" t="n">
        <x:v>0.0455</x:v>
      </x:c>
      <x:c r="J73" s="71" t="n">
        <x:v>77.579</x:v>
      </x:c>
      <x:c r="K73" s="77" t="n">
        <x:v>5.10638519250773e-8</x:v>
      </x:c>
      <x:c r="L73" s="69"/>
    </x:row>
  </x:sheetData>
  <x:mergeCells>
    <x:mergeCell ref="A1:L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1" hidden="0" customWidth="1"/>
    <x:col min="3" max="3" width="11" hidden="0" customWidth="1"/>
    <x:col min="4" max="4" width="12" hidden="0" customWidth="1"/>
    <x:col min="5" max="5" width="23" hidden="0" customWidth="1"/>
    <x:col min="6" max="6" width="16" hidden="0" customWidth="1"/>
    <x:col min="7" max="7" width="11" hidden="0" customWidth="1"/>
    <x:col min="8" max="8" width="11" hidden="0" customWidth="1"/>
    <x:col min="9" max="9" width="11" hidden="0" customWidth="1"/>
    <x:col min="10" max="10" width="12" hidden="0" customWidth="1"/>
    <x:col min="11" max="11" width="12" hidden="0" customWidth="1"/>
    <x:col min="12" max="12" width="11" hidden="0" customWidth="1"/>
    <x:col min="13" max="13" width="11" hidden="0" customWidth="1"/>
    <x:col min="14" max="14" width="11" hidden="0" customWidth="1"/>
    <x:col min="15" max="15" width="12" hidden="0" customWidth="1"/>
    <x:col min="16" max="16" width="12" hidden="0" customWidth="1"/>
    <x:col min="17" max="17" width="16" hidden="0" customWidth="1"/>
    <x:col min="18" max="18" width="14" hidden="0" customWidth="1"/>
  </x:cols>
  <x:sheetData>
    <x:row r="1">
      <x:c r="A1" s="36" t="str">
        <x:v>case_id</x:v>
      </x:c>
      <x:c r="B1" s="36" t="str">
        <x:v>grid</x:v>
      </x:c>
      <x:c r="C1" s="36" t="str">
        <x:v>mach</x:v>
      </x:c>
      <x:c r="D1" s="36" t="str">
        <x:v>alpha_deg</x:v>
      </x:c>
      <x:c r="E1" s="36" t="str">
        <x:v>control_point_offset</x:v>
      </x:c>
      <x:c r="F1" s="36" t="str">
        <x:v>pressure_rule</x:v>
      </x:c>
      <x:c r="G1" s="36" t="str">
        <x:v>solver</x:v>
      </x:c>
      <x:c r="H1" s="36" t="str">
        <x:v>status</x:v>
      </x:c>
      <x:c r="I1" s="36" t="str">
        <x:v>attempt</x:v>
      </x:c>
      <x:c r="J1" s="36" t="str">
        <x:v>exit_code</x:v>
      </x:c>
      <x:c r="K1" s="36" t="str">
        <x:v>runtime_s</x:v>
      </x:c>
      <x:c r="L1" s="36" t="str">
        <x:v>Cx</x:v>
      </x:c>
      <x:c r="M1" s="36" t="str">
        <x:v>Cy</x:v>
      </x:c>
      <x:c r="N1" s="36" t="str">
        <x:v>Cz</x:v>
      </x:c>
      <x:c r="O1" s="36" t="str">
        <x:v>CD_stream</x:v>
      </x:c>
      <x:c r="P1" s="36" t="str">
        <x:v>CN_stream</x:v>
      </x:c>
      <x:c r="Q1" s="36" t="str">
        <x:v>residual_norm</x:v>
      </x:c>
      <x:c r="R1" s="36" t="str">
        <x:v>report_path</x:v>
      </x:c>
    </x:row>
    <x:row r="2">
      <x:c r="A2" s="66" t="str">
        <x:v>001_7k_Mp1p1_Am4_Op0p00001_ise</x:v>
      </x:c>
      <x:c r="B2" s="66" t="str">
        <x:v>7k</x:v>
      </x:c>
      <x:c r="C2" s="66" t="n">
        <x:v>1.1</x:v>
      </x:c>
      <x:c r="D2" s="66" t="n">
        <x:v>-4</x:v>
      </x:c>
      <x:c r="E2" s="66" t="n">
        <x:v>0.00001</x:v>
      </x:c>
      <x:c r="F2" s="66" t="str">
        <x:v>isentropic</x:v>
      </x:c>
      <x:c r="G2" s="66" t="str">
        <x:v>FQRUP</x:v>
      </x:c>
      <x:c r="H2" s="66" t="str">
        <x:v>OK</x:v>
      </x:c>
      <x:c r="I2" s="66" t="n">
        <x:v>1</x:v>
      </x:c>
      <x:c r="J2" s="66" t="n">
        <x:v>0</x:v>
      </x:c>
      <x:c r="K2" s="66" t="n">
        <x:v>22.234</x:v>
      </x:c>
      <x:c r="L2" s="66" t="n">
        <x:v>0.0550172349079112</x:v>
      </x:c>
      <x:c r="M2" s="66" t="n">
        <x:v>0.0000644789182756313</x:v>
      </x:c>
      <x:c r="N2" s="66" t="n">
        <x:v>-0.0155549485054128</x:v>
      </x:c>
      <x:c r="O2" s="66" t="n">
        <x:v>0.0559682740458411</x:v>
      </x:c>
      <x:c r="P2" s="66" t="n">
        <x:v>-0.0116792491303145</x:v>
      </x:c>
      <x:c r="Q2" s="66" t="n">
        <x:v>4.26831266350699e-9</x:v>
      </x:c>
      <x:c r="R2" s="66" t="str">
        <x:v>C:\Users\admin\.codex\.chatgpt-projects\g-p-6910508be2a081919b9cb5881a96c92b\overnight_refinement_2026-08-27\reports\001_7k_Mp1p1_Am4_Op0p00001_ise_report.json</x:v>
      </x:c>
    </x:row>
    <x:row r="3">
      <x:c r="A3" s="66" t="str">
        <x:v>002_7k_Mp1p1_Am4_Op0p0001_ise</x:v>
      </x:c>
      <x:c r="B3" s="66" t="str">
        <x:v>7k</x:v>
      </x:c>
      <x:c r="C3" s="66" t="n">
        <x:v>1.1</x:v>
      </x:c>
      <x:c r="D3" s="66" t="n">
        <x:v>-4</x:v>
      </x:c>
      <x:c r="E3" s="66" t="n">
        <x:v>0.0001</x:v>
      </x:c>
      <x:c r="F3" s="66" t="str">
        <x:v>isentropic</x:v>
      </x:c>
      <x:c r="G3" s="66" t="str">
        <x:v>FQRUP</x:v>
      </x:c>
      <x:c r="H3" s="66" t="str">
        <x:v>OK</x:v>
      </x:c>
      <x:c r="I3" s="66" t="n">
        <x:v>1</x:v>
      </x:c>
      <x:c r="J3" s="66" t="n">
        <x:v>0</x:v>
      </x:c>
      <x:c r="K3" s="66" t="n">
        <x:v>11.172</x:v>
      </x:c>
      <x:c r="L3" s="66" t="n">
        <x:v>0.0550219601631787</x:v>
      </x:c>
      <x:c r="M3" s="66" t="n">
        <x:v>0.0000643359646226934</x:v>
      </x:c>
      <x:c r="N3" s="66" t="n">
        <x:v>-0.0155552420505258</x:v>
      </x:c>
      <x:c r="O3" s="66" t="n">
        <x:v>0.0559730082672963</x:v>
      </x:c>
      <x:c r="P3" s="66" t="n">
        <x:v>-0.0116792123432214</x:v>
      </x:c>
      <x:c r="Q3" s="66" t="n">
        <x:v>4.27154821167531e-8</x:v>
      </x:c>
      <x:c r="R3" s="66" t="str">
        <x:v>C:\Users\admin\.codex\.chatgpt-projects\g-p-6910508be2a081919b9cb5881a96c92b\overnight_refinement_2026-08-27\reports\002_7k_Mp1p1_Am4_Op0p0001_ise_report.json</x:v>
      </x:c>
    </x:row>
    <x:row r="4">
      <x:c r="A4" s="66" t="str">
        <x:v>003_7k_Mp1p1_Am2_Op0p00001_ise</x:v>
      </x:c>
      <x:c r="B4" s="66" t="str">
        <x:v>7k</x:v>
      </x:c>
      <x:c r="C4" s="66" t="n">
        <x:v>1.1</x:v>
      </x:c>
      <x:c r="D4" s="66" t="n">
        <x:v>-2</x:v>
      </x:c>
      <x:c r="E4" s="66" t="n">
        <x:v>0.00001</x:v>
      </x:c>
      <x:c r="F4" s="66" t="str">
        <x:v>isentropic</x:v>
      </x:c>
      <x:c r="G4" s="66" t="str">
        <x:v>FQRUP</x:v>
      </x:c>
      <x:c r="H4" s="66" t="str">
        <x:v>OK</x:v>
      </x:c>
      <x:c r="I4" s="66" t="n">
        <x:v>1</x:v>
      </x:c>
      <x:c r="J4" s="66" t="n">
        <x:v>0</x:v>
      </x:c>
      <x:c r="K4" s="66" t="n">
        <x:v>11.125</x:v>
      </x:c>
      <x:c r="L4" s="66" t="n">
        <x:v>0.0610937048587079</x:v>
      </x:c>
      <x:c r="M4" s="66" t="n">
        <x:v>-0.000853680314311084</x:v>
      </x:c>
      <x:c r="N4" s="66" t="n">
        <x:v>0.00483582543878087</x:v>
      </x:c>
      <x:c r="O4" s="66" t="n">
        <x:v>0.06088772035045</x:v>
      </x:c>
      <x:c r="P4" s="66" t="n">
        <x:v>0.00696501913584324</x:v>
      </x:c>
      <x:c r="Q4" s="66" t="n">
        <x:v>4.21496337063355e-9</x:v>
      </x:c>
      <x:c r="R4" s="66" t="str">
        <x:v>C:\Users\admin\.codex\.chatgpt-projects\g-p-6910508be2a081919b9cb5881a96c92b\overnight_refinement_2026-08-27\reports\003_7k_Mp1p1_Am2_Op0p00001_ise_report.json</x:v>
      </x:c>
    </x:row>
    <x:row r="5">
      <x:c r="A5" s="66" t="str">
        <x:v>004_7k_Mp1p1_Am2_Op0p0001_ise</x:v>
      </x:c>
      <x:c r="B5" s="66" t="str">
        <x:v>7k</x:v>
      </x:c>
      <x:c r="C5" s="66" t="n">
        <x:v>1.1</x:v>
      </x:c>
      <x:c r="D5" s="66" t="n">
        <x:v>-2</x:v>
      </x:c>
      <x:c r="E5" s="66" t="n">
        <x:v>0.0001</x:v>
      </x:c>
      <x:c r="F5" s="66" t="str">
        <x:v>isentropic</x:v>
      </x:c>
      <x:c r="G5" s="66" t="str">
        <x:v>FQRUP</x:v>
      </x:c>
      <x:c r="H5" s="66" t="str">
        <x:v>OK</x:v>
      </x:c>
      <x:c r="I5" s="66" t="n">
        <x:v>1</x:v>
      </x:c>
      <x:c r="J5" s="66" t="n">
        <x:v>0</x:v>
      </x:c>
      <x:c r="K5" s="66" t="n">
        <x:v>11.25</x:v>
      </x:c>
      <x:c r="L5" s="66" t="n">
        <x:v>0.0610967323606109</x:v>
      </x:c>
      <x:c r="M5" s="66" t="n">
        <x:v>-0.000856639315729221</x:v>
      </x:c>
      <x:c r="N5" s="66" t="n">
        <x:v>0.00482988043555426</x:v>
      </x:c>
      <x:c r="O5" s="66" t="n">
        <x:v>0.0608909534857012</x:v>
      </x:c>
      <x:c r="P5" s="66" t="n">
        <x:v>0.00695918341244465</x:v>
      </x:c>
      <x:c r="Q5" s="66" t="n">
        <x:v>4.21656116185255e-8</x:v>
      </x:c>
      <x:c r="R5" s="66" t="str">
        <x:v>C:\Users\admin\.codex\.chatgpt-projects\g-p-6910508be2a081919b9cb5881a96c92b\overnight_refinement_2026-08-27\reports\004_7k_Mp1p1_Am2_Op0p0001_ise_report.json</x:v>
      </x:c>
    </x:row>
    <x:row r="6">
      <x:c r="A6" s="66" t="str">
        <x:v>005_7k_Mp1p1_Ap0_Op0p00001_ise</x:v>
      </x:c>
      <x:c r="B6" s="66" t="str">
        <x:v>7k</x:v>
      </x:c>
      <x:c r="C6" s="66" t="n">
        <x:v>1.1</x:v>
      </x:c>
      <x:c r="D6" s="66" t="n">
        <x:v>0</x:v>
      </x:c>
      <x:c r="E6" s="66" t="n">
        <x:v>0.00001</x:v>
      </x:c>
      <x:c r="F6" s="66" t="str">
        <x:v>isentropic</x:v>
      </x:c>
      <x:c r="G6" s="66" t="str">
        <x:v>FQRUP</x:v>
      </x:c>
      <x:c r="H6" s="66" t="str">
        <x:v>OK</x:v>
      </x:c>
      <x:c r="I6" s="66" t="n">
        <x:v>1</x:v>
      </x:c>
      <x:c r="J6" s="66" t="n">
        <x:v>0</x:v>
      </x:c>
      <x:c r="K6" s="66" t="n">
        <x:v>11.172</x:v>
      </x:c>
      <x:c r="L6" s="66" t="n">
        <x:v>0.0646743432046755</x:v>
      </x:c>
      <x:c r="M6" s="66" t="n">
        <x:v>-0.000389014804019226</x:v>
      </x:c>
      <x:c r="N6" s="66" t="n">
        <x:v>0.00635462536446655</x:v>
      </x:c>
      <x:c r="O6" s="66" t="n">
        <x:v>0.0646743432046755</x:v>
      </x:c>
      <x:c r="P6" s="66" t="n">
        <x:v>0.00635462536446655</x:v>
      </x:c>
      <x:c r="Q6" s="66" t="n">
        <x:v>4.35274751053624e-9</x:v>
      </x:c>
      <x:c r="R6" s="66" t="str">
        <x:v>C:\Users\admin\.codex\.chatgpt-projects\g-p-6910508be2a081919b9cb5881a96c92b\overnight_refinement_2026-08-27\reports\005_7k_Mp1p1_Ap0_Op0p00001_ise_report.json</x:v>
      </x:c>
    </x:row>
    <x:row r="7">
      <x:c r="A7" s="66" t="str">
        <x:v>006_7k_Mp1p1_Ap0_Op0p0001_ise</x:v>
      </x:c>
      <x:c r="B7" s="66" t="str">
        <x:v>7k</x:v>
      </x:c>
      <x:c r="C7" s="66" t="n">
        <x:v>1.1</x:v>
      </x:c>
      <x:c r="D7" s="66" t="n">
        <x:v>0</x:v>
      </x:c>
      <x:c r="E7" s="66" t="n">
        <x:v>0.0001</x:v>
      </x:c>
      <x:c r="F7" s="66" t="str">
        <x:v>isentropic</x:v>
      </x:c>
      <x:c r="G7" s="66" t="str">
        <x:v>FQRUP</x:v>
      </x:c>
      <x:c r="H7" s="66" t="str">
        <x:v>OK</x:v>
      </x:c>
      <x:c r="I7" s="66" t="n">
        <x:v>1</x:v>
      </x:c>
      <x:c r="J7" s="66" t="n">
        <x:v>0</x:v>
      </x:c>
      <x:c r="K7" s="66" t="n">
        <x:v>11.125</x:v>
      </x:c>
      <x:c r="L7" s="66" t="n">
        <x:v>0.0646780052944997</x:v>
      </x:c>
      <x:c r="M7" s="66" t="n">
        <x:v>-0.000387705629408418</x:v>
      </x:c>
      <x:c r="N7" s="66" t="n">
        <x:v>0.00635354420046997</x:v>
      </x:c>
      <x:c r="O7" s="66" t="n">
        <x:v>0.0646780052944997</x:v>
      </x:c>
      <x:c r="P7" s="66" t="n">
        <x:v>0.00635354420046997</x:v>
      </x:c>
      <x:c r="Q7" s="66" t="n">
        <x:v>4.35155768182285e-8</x:v>
      </x:c>
      <x:c r="R7" s="66" t="str">
        <x:v>C:\Users\admin\.codex\.chatgpt-projects\g-p-6910508be2a081919b9cb5881a96c92b\overnight_refinement_2026-08-27\reports\006_7k_Mp1p1_Ap0_Op0p0001_ise_report.json</x:v>
      </x:c>
    </x:row>
    <x:row r="8">
      <x:c r="A8" s="66" t="str">
        <x:v>007_7k_Mp1p1_Ap2_Op0p00001_ise</x:v>
      </x:c>
      <x:c r="B8" s="66" t="str">
        <x:v>7k</x:v>
      </x:c>
      <x:c r="C8" s="66" t="n">
        <x:v>1.1</x:v>
      </x:c>
      <x:c r="D8" s="66" t="n">
        <x:v>2</x:v>
      </x:c>
      <x:c r="E8" s="66" t="n">
        <x:v>0.00001</x:v>
      </x:c>
      <x:c r="F8" s="66" t="str">
        <x:v>isentropic</x:v>
      </x:c>
      <x:c r="G8" s="66" t="str">
        <x:v>FQRUP</x:v>
      </x:c>
      <x:c r="H8" s="66" t="str">
        <x:v>OK</x:v>
      </x:c>
      <x:c r="I8" s="66" t="n">
        <x:v>1</x:v>
      </x:c>
      <x:c r="J8" s="66" t="n">
        <x:v>0</x:v>
      </x:c>
      <x:c r="K8" s="66" t="n">
        <x:v>12.031</x:v>
      </x:c>
      <x:c r="L8" s="66" t="n">
        <x:v>0.0640043621334271</x:v>
      </x:c>
      <x:c r="M8" s="66" t="n">
        <x:v>-0.00202947367326246</x:v>
      </x:c>
      <x:c r="N8" s="66" t="n">
        <x:v>0.00541259008995004</x:v>
      </x:c>
      <x:c r="O8" s="66" t="n">
        <x:v>0.0641542690753516</x:v>
      </x:c>
      <x:c r="P8" s="66" t="n">
        <x:v>0.00317557286108932</x:v>
      </x:c>
      <x:c r="Q8" s="66" t="n">
        <x:v>4.40771188363055e-9</x:v>
      </x:c>
      <x:c r="R8" s="66" t="str">
        <x:v>C:\Users\admin\.codex\.chatgpt-projects\g-p-6910508be2a081919b9cb5881a96c92b\overnight_refinement_2026-08-27\reports\007_7k_Mp1p1_Ap2_Op0p00001_ise_report.json</x:v>
      </x:c>
    </x:row>
    <x:row r="9">
      <x:c r="A9" s="66" t="str">
        <x:v>008_7k_Mp1p1_Ap2_Op0p0001_ise</x:v>
      </x:c>
      <x:c r="B9" s="66" t="str">
        <x:v>7k</x:v>
      </x:c>
      <x:c r="C9" s="66" t="n">
        <x:v>1.1</x:v>
      </x:c>
      <x:c r="D9" s="66" t="n">
        <x:v>2</x:v>
      </x:c>
      <x:c r="E9" s="66" t="n">
        <x:v>0.0001</x:v>
      </x:c>
      <x:c r="F9" s="66" t="str">
        <x:v>isentropic</x:v>
      </x:c>
      <x:c r="G9" s="66" t="str">
        <x:v>FQRUP</x:v>
      </x:c>
      <x:c r="H9" s="66" t="str">
        <x:v>OK</x:v>
      </x:c>
      <x:c r="I9" s="66" t="n">
        <x:v>1</x:v>
      </x:c>
      <x:c r="J9" s="66" t="n">
        <x:v>0</x:v>
      </x:c>
      <x:c r="K9" s="66" t="n">
        <x:v>11.219</x:v>
      </x:c>
      <x:c r="L9" s="66" t="n">
        <x:v>0.0640071227655514</x:v>
      </x:c>
      <x:c r="M9" s="66" t="n">
        <x:v>-0.00203156372715145</x:v>
      </x:c>
      <x:c r="N9" s="66" t="n">
        <x:v>0.00541369416120416</x:v>
      </x:c>
      <x:c r="O9" s="66" t="n">
        <x:v>0.0641570665573045</x:v>
      </x:c>
      <x:c r="P9" s="66" t="n">
        <x:v>0.00317657991510134</x:v>
      </x:c>
      <x:c r="Q9" s="66" t="n">
        <x:v>4.4037678515356e-8</x:v>
      </x:c>
      <x:c r="R9" s="66" t="str">
        <x:v>C:\Users\admin\.codex\.chatgpt-projects\g-p-6910508be2a081919b9cb5881a96c92b\overnight_refinement_2026-08-27\reports\008_7k_Mp1p1_Ap2_Op0p0001_ise_report.json</x:v>
      </x:c>
    </x:row>
    <x:row r="10">
      <x:c r="A10" s="66" t="str">
        <x:v>009_7k_Mp1p1_Ap4_Op0p00001_ise</x:v>
      </x:c>
      <x:c r="B10" s="66" t="str">
        <x:v>7k</x:v>
      </x:c>
      <x:c r="C10" s="66" t="n">
        <x:v>1.1</x:v>
      </x:c>
      <x:c r="D10" s="66" t="n">
        <x:v>4</x:v>
      </x:c>
      <x:c r="E10" s="66" t="n">
        <x:v>0.00001</x:v>
      </x:c>
      <x:c r="F10" s="66" t="str">
        <x:v>isentropic</x:v>
      </x:c>
      <x:c r="G10" s="66" t="str">
        <x:v>FQRUP</x:v>
      </x:c>
      <x:c r="H10" s="66" t="str">
        <x:v>OK</x:v>
      </x:c>
      <x:c r="I10" s="66" t="n">
        <x:v>1</x:v>
      </x:c>
      <x:c r="J10" s="66" t="n">
        <x:v>0</x:v>
      </x:c>
      <x:c r="K10" s="66" t="n">
        <x:v>11.109</x:v>
      </x:c>
      <x:c r="L10" s="66" t="n">
        <x:v>0.0593054416472952</x:v>
      </x:c>
      <x:c r="M10" s="66" t="n">
        <x:v>-0.00333415772635434</x:v>
      </x:c>
      <x:c r="N10" s="66" t="n">
        <x:v>0.0156320092414058</x:v>
      </x:c>
      <x:c r="O10" s="66" t="n">
        <x:v>0.0602514104143395</x:v>
      </x:c>
      <x:c r="P10" s="66" t="n">
        <x:v>0.0114569919694025</x:v>
      </x:c>
      <x:c r="Q10" s="66" t="n">
        <x:v>4.50188630950627e-9</x:v>
      </x:c>
      <x:c r="R10" s="66" t="str">
        <x:v>C:\Users\admin\.codex\.chatgpt-projects\g-p-6910508be2a081919b9cb5881a96c92b\overnight_refinement_2026-08-27\reports\009_7k_Mp1p1_Ap4_Op0p00001_ise_report.json</x:v>
      </x:c>
    </x:row>
    <x:row r="11">
      <x:c r="A11" s="66" t="str">
        <x:v>010_7k_Mp1p1_Ap4_Op0p0001_ise</x:v>
      </x:c>
      <x:c r="B11" s="66" t="str">
        <x:v>7k</x:v>
      </x:c>
      <x:c r="C11" s="66" t="n">
        <x:v>1.1</x:v>
      </x:c>
      <x:c r="D11" s="66" t="n">
        <x:v>4</x:v>
      </x:c>
      <x:c r="E11" s="66" t="n">
        <x:v>0.0001</x:v>
      </x:c>
      <x:c r="F11" s="66" t="str">
        <x:v>isentropic</x:v>
      </x:c>
      <x:c r="G11" s="66" t="str">
        <x:v>FQRUP</x:v>
      </x:c>
      <x:c r="H11" s="66" t="str">
        <x:v>OK</x:v>
      </x:c>
      <x:c r="I11" s="66" t="n">
        <x:v>1</x:v>
      </x:c>
      <x:c r="J11" s="66" t="n">
        <x:v>0</x:v>
      </x:c>
      <x:c r="K11" s="66" t="n">
        <x:v>11.015</x:v>
      </x:c>
      <x:c r="L11" s="66" t="n">
        <x:v>0.0593086044253051</x:v>
      </x:c>
      <x:c r="M11" s="66" t="n">
        <x:v>-0.0033367319557678</x:v>
      </x:c>
      <x:c r="N11" s="66" t="n">
        <x:v>0.015626534385226</x:v>
      </x:c>
      <x:c r="O11" s="66" t="n">
        <x:v>0.0602541835813198</x:v>
      </x:c>
      <x:c r="P11" s="66" t="n">
        <x:v>0.011451309825456</x:v>
      </x:c>
      <x:c r="Q11" s="66" t="n">
        <x:v>4.49584781543364e-8</x:v>
      </x:c>
      <x:c r="R11" s="66" t="str">
        <x:v>C:\Users\admin\.codex\.chatgpt-projects\g-p-6910508be2a081919b9cb5881a96c92b\overnight_refinement_2026-08-27\reports\010_7k_Mp1p1_Ap4_Op0p0001_ise_report.json</x:v>
      </x:c>
    </x:row>
    <x:row r="12">
      <x:c r="A12" s="66" t="str">
        <x:v>011_7k_Mp1p15_Am4_Op0p00001_ise</x:v>
      </x:c>
      <x:c r="B12" s="66" t="str">
        <x:v>7k</x:v>
      </x:c>
      <x:c r="C12" s="66" t="n">
        <x:v>1.15</x:v>
      </x:c>
      <x:c r="D12" s="66" t="n">
        <x:v>-4</x:v>
      </x:c>
      <x:c r="E12" s="66" t="n">
        <x:v>0.00001</x:v>
      </x:c>
      <x:c r="F12" s="66" t="str">
        <x:v>isentropic</x:v>
      </x:c>
      <x:c r="G12" s="66" t="str">
        <x:v>FQRUP</x:v>
      </x:c>
      <x:c r="H12" s="66" t="str">
        <x:v>OK</x:v>
      </x:c>
      <x:c r="I12" s="66" t="n">
        <x:v>1</x:v>
      </x:c>
      <x:c r="J12" s="66" t="n">
        <x:v>0</x:v>
      </x:c>
      <x:c r="K12" s="66" t="n">
        <x:v>11.015</x:v>
      </x:c>
      <x:c r="L12" s="66" t="n">
        <x:v>0.0510322882581254</x:v>
      </x:c>
      <x:c r="M12" s="66" t="n">
        <x:v>0.00222094509607878</x:v>
      </x:c>
      <x:c r="N12" s="66" t="n">
        <x:v>-0.0107332442574009</x:v>
      </x:c>
      <x:c r="O12" s="66" t="n">
        <x:v>0.0516566894400331</x:v>
      </x:c>
      <x:c r="P12" s="66" t="n">
        <x:v>-0.00714726613786028</x:v>
      </x:c>
      <x:c r="Q12" s="66" t="n">
        <x:v>5.05939298816099e-9</x:v>
      </x:c>
      <x:c r="R12" s="66" t="str">
        <x:v>C:\Users\admin\.codex\.chatgpt-projects\g-p-6910508be2a081919b9cb5881a96c92b\overnight_refinement_2026-08-27\reports\011_7k_Mp1p15_Am4_Op0p00001_ise_report.json</x:v>
      </x:c>
    </x:row>
    <x:row r="13">
      <x:c r="A13" s="66" t="str">
        <x:v>012_7k_Mp1p15_Am4_Op0p0001_ise</x:v>
      </x:c>
      <x:c r="B13" s="66" t="str">
        <x:v>7k</x:v>
      </x:c>
      <x:c r="C13" s="66" t="n">
        <x:v>1.15</x:v>
      </x:c>
      <x:c r="D13" s="66" t="n">
        <x:v>-4</x:v>
      </x:c>
      <x:c r="E13" s="66" t="n">
        <x:v>0.0001</x:v>
      </x:c>
      <x:c r="F13" s="66" t="str">
        <x:v>isentropic</x:v>
      </x:c>
      <x:c r="G13" s="66" t="str">
        <x:v>FQRUP</x:v>
      </x:c>
      <x:c r="H13" s="66" t="str">
        <x:v>OK</x:v>
      </x:c>
      <x:c r="I13" s="66" t="n">
        <x:v>1</x:v>
      </x:c>
      <x:c r="J13" s="66" t="n">
        <x:v>0</x:v>
      </x:c>
      <x:c r="K13" s="66" t="n">
        <x:v>10.297</x:v>
      </x:c>
      <x:c r="L13" s="66" t="n">
        <x:v>0.0510350568619281</x:v>
      </x:c>
      <x:c r="M13" s="66" t="n">
        <x:v>0.00222663336515336</x:v>
      </x:c>
      <x:c r="N13" s="66" t="n">
        <x:v>-0.0107375682575842</x:v>
      </x:c>
      <x:c r="O13" s="66" t="n">
        <x:v>0.0516597529266614</x:v>
      </x:c>
      <x:c r="P13" s="66" t="n">
        <x:v>-0.00715138647695799</x:v>
      </x:c>
      <x:c r="Q13" s="66" t="n">
        <x:v>5.06161281058835e-8</x:v>
      </x:c>
      <x:c r="R13" s="66" t="str">
        <x:v>C:\Users\admin\.codex\.chatgpt-projects\g-p-6910508be2a081919b9cb5881a96c92b\overnight_refinement_2026-08-27\reports\012_7k_Mp1p15_Am4_Op0p0001_ise_report.json</x:v>
      </x:c>
    </x:row>
    <x:row r="14">
      <x:c r="A14" s="66" t="str">
        <x:v>013_7k_Mp1p15_Am2_Op0p00001_ise</x:v>
      </x:c>
      <x:c r="B14" s="66" t="str">
        <x:v>7k</x:v>
      </x:c>
      <x:c r="C14" s="66" t="n">
        <x:v>1.15</x:v>
      </x:c>
      <x:c r="D14" s="66" t="n">
        <x:v>-2</x:v>
      </x:c>
      <x:c r="E14" s="66" t="n">
        <x:v>0.00001</x:v>
      </x:c>
      <x:c r="F14" s="66" t="str">
        <x:v>isentropic</x:v>
      </x:c>
      <x:c r="G14" s="66" t="str">
        <x:v>FQRUP</x:v>
      </x:c>
      <x:c r="H14" s="66" t="str">
        <x:v>OK</x:v>
      </x:c>
      <x:c r="I14" s="66" t="n">
        <x:v>1</x:v>
      </x:c>
      <x:c r="J14" s="66" t="n">
        <x:v>0</x:v>
      </x:c>
      <x:c r="K14" s="66" t="n">
        <x:v>10.125</x:v>
      </x:c>
      <x:c r="L14" s="66" t="n">
        <x:v>0.0577153536184692</x:v>
      </x:c>
      <x:c r="M14" s="66" t="n">
        <x:v>0.000671972187559799</x:v>
      </x:c>
      <x:c r="N14" s="66" t="n">
        <x:v>0.00779367140809584</x:v>
      </x:c>
      <x:c r="O14" s="66" t="n">
        <x:v>0.0574081997748543</x:v>
      </x:c>
      <x:c r="P14" s="66" t="n">
        <x:v>0.00980316050734343</x:v>
      </x:c>
      <x:c r="Q14" s="66" t="n">
        <x:v>5.03583331398777e-9</x:v>
      </x:c>
      <x:c r="R14" s="66" t="str">
        <x:v>C:\Users\admin\.codex\.chatgpt-projects\g-p-6910508be2a081919b9cb5881a96c92b\overnight_refinement_2026-08-27\reports\013_7k_Mp1p15_Am2_Op0p00001_ise_report.json</x:v>
      </x:c>
    </x:row>
    <x:row r="15">
      <x:c r="A15" s="66" t="str">
        <x:v>014_7k_Mp1p15_Am2_Op0p0001_ise</x:v>
      </x:c>
      <x:c r="B15" s="66" t="str">
        <x:v>7k</x:v>
      </x:c>
      <x:c r="C15" s="66" t="n">
        <x:v>1.15</x:v>
      </x:c>
      <x:c r="D15" s="66" t="n">
        <x:v>-2</x:v>
      </x:c>
      <x:c r="E15" s="66" t="n">
        <x:v>0.0001</x:v>
      </x:c>
      <x:c r="F15" s="66" t="str">
        <x:v>isentropic</x:v>
      </x:c>
      <x:c r="G15" s="66" t="str">
        <x:v>FQRUP</x:v>
      </x:c>
      <x:c r="H15" s="66" t="str">
        <x:v>OK</x:v>
      </x:c>
      <x:c r="I15" s="66" t="n">
        <x:v>1</x:v>
      </x:c>
      <x:c r="J15" s="66" t="n">
        <x:v>0</x:v>
      </x:c>
      <x:c r="K15" s="66" t="n">
        <x:v>9.969</x:v>
      </x:c>
      <x:c r="L15" s="66" t="n">
        <x:v>0.0577170680539663</x:v>
      </x:c>
      <x:c r="M15" s="66" t="n">
        <x:v>0.00067441977372007</x:v>
      </x:c>
      <x:c r="N15" s="66" t="n">
        <x:v>0.00778545442251991</x:v>
      </x:c>
      <x:c r="O15" s="66" t="n">
        <x:v>0.0574101999346246</x:v>
      </x:c>
      <x:c r="P15" s="66" t="n">
        <x:v>0.00979500836026907</x:v>
      </x:c>
      <x:c r="Q15" s="66" t="n">
        <x:v>5.03698775092079e-8</x:v>
      </x:c>
      <x:c r="R15" s="66" t="str">
        <x:v>C:\Users\admin\.codex\.chatgpt-projects\g-p-6910508be2a081919b9cb5881a96c92b\overnight_refinement_2026-08-27\reports\014_7k_Mp1p15_Am2_Op0p0001_ise_report.json</x:v>
      </x:c>
    </x:row>
    <x:row r="16">
      <x:c r="A16" s="66" t="str">
        <x:v>015_7k_Mp1p15_Ap0_Op0p00001_ise</x:v>
      </x:c>
      <x:c r="B16" s="66" t="str">
        <x:v>7k</x:v>
      </x:c>
      <x:c r="C16" s="66" t="n">
        <x:v>1.15</x:v>
      </x:c>
      <x:c r="D16" s="66" t="n">
        <x:v>0</x:v>
      </x:c>
      <x:c r="E16" s="66" t="n">
        <x:v>0.00001</x:v>
      </x:c>
      <x:c r="F16" s="66" t="str">
        <x:v>isentropic</x:v>
      </x:c>
      <x:c r="G16" s="66" t="str">
        <x:v>FQRUP</x:v>
      </x:c>
      <x:c r="H16" s="66" t="str">
        <x:v>OK</x:v>
      </x:c>
      <x:c r="I16" s="66" t="n">
        <x:v>1</x:v>
      </x:c>
      <x:c r="J16" s="66" t="n">
        <x:v>0</x:v>
      </x:c>
      <x:c r="K16" s="66" t="n">
        <x:v>9.907</x:v>
      </x:c>
      <x:c r="L16" s="66" t="n">
        <x:v>0.0618228106281264</x:v>
      </x:c>
      <x:c r="M16" s="66" t="n">
        <x:v>0.000174178679889593</x:v>
      </x:c>
      <x:c r="N16" s="66" t="n">
        <x:v>0.00720405603529188</x:v>
      </x:c>
      <x:c r="O16" s="66" t="n">
        <x:v>0.0618228106281264</x:v>
      </x:c>
      <x:c r="P16" s="66" t="n">
        <x:v>0.00720405603529188</x:v>
      </x:c>
      <x:c r="Q16" s="66" t="n">
        <x:v>5.12423541555864e-9</x:v>
      </x:c>
      <x:c r="R16" s="66" t="str">
        <x:v>C:\Users\admin\.codex\.chatgpt-projects\g-p-6910508be2a081919b9cb5881a96c92b\overnight_refinement_2026-08-27\reports\015_7k_Mp1p15_Ap0_Op0p00001_ise_report.json</x:v>
      </x:c>
    </x:row>
    <x:row r="17">
      <x:c r="A17" s="66" t="str">
        <x:v>016_7k_Mp1p15_Ap0_Op0p0001_ise</x:v>
      </x:c>
      <x:c r="B17" s="66" t="str">
        <x:v>7k</x:v>
      </x:c>
      <x:c r="C17" s="66" t="n">
        <x:v>1.15</x:v>
      </x:c>
      <x:c r="D17" s="66" t="n">
        <x:v>0</x:v>
      </x:c>
      <x:c r="E17" s="66" t="n">
        <x:v>0.0001</x:v>
      </x:c>
      <x:c r="F17" s="66" t="str">
        <x:v>isentropic</x:v>
      </x:c>
      <x:c r="G17" s="66" t="str">
        <x:v>FQRUP</x:v>
      </x:c>
      <x:c r="H17" s="66" t="str">
        <x:v>OK</x:v>
      </x:c>
      <x:c r="I17" s="66" t="n">
        <x:v>1</x:v>
      </x:c>
      <x:c r="J17" s="66" t="n">
        <x:v>0</x:v>
      </x:c>
      <x:c r="K17" s="66" t="n">
        <x:v>9.969</x:v>
      </x:c>
      <x:c r="L17" s="66" t="n">
        <x:v>0.0618233436458241</x:v>
      </x:c>
      <x:c r="M17" s="66" t="n">
        <x:v>0.000177970773745505</x:v>
      </x:c>
      <x:c r="N17" s="66" t="n">
        <x:v>0.00720179726687262</x:v>
      </x:c>
      <x:c r="O17" s="66" t="n">
        <x:v>0.0618233436458241</x:v>
      </x:c>
      <x:c r="P17" s="66" t="n">
        <x:v>0.00720179726687262</x:v>
      </x:c>
      <x:c r="Q17" s="66" t="n">
        <x:v>5.12343471810433e-8</x:v>
      </x:c>
      <x:c r="R17" s="66" t="str">
        <x:v>C:\Users\admin\.codex\.chatgpt-projects\g-p-6910508be2a081919b9cb5881a96c92b\overnight_refinement_2026-08-27\reports\016_7k_Mp1p15_Ap0_Op0p0001_ise_report.json</x:v>
      </x:c>
    </x:row>
    <x:row r="18">
      <x:c r="A18" s="66" t="str">
        <x:v>017_7k_Mp1p15_Ap2_Op0p00001_ise</x:v>
      </x:c>
      <x:c r="B18" s="66" t="str">
        <x:v>7k</x:v>
      </x:c>
      <x:c r="C18" s="66" t="n">
        <x:v>1.15</x:v>
      </x:c>
      <x:c r="D18" s="66" t="n">
        <x:v>2</x:v>
      </x:c>
      <x:c r="E18" s="66" t="n">
        <x:v>0.00001</x:v>
      </x:c>
      <x:c r="F18" s="66" t="str">
        <x:v>isentropic</x:v>
      </x:c>
      <x:c r="G18" s="66" t="str">
        <x:v>FQRUP</x:v>
      </x:c>
      <x:c r="H18" s="66" t="str">
        <x:v>OK</x:v>
      </x:c>
      <x:c r="I18" s="66" t="n">
        <x:v>1</x:v>
      </x:c>
      <x:c r="J18" s="66" t="n">
        <x:v>0</x:v>
      </x:c>
      <x:c r="K18" s="66" t="n">
        <x:v>10.109</x:v>
      </x:c>
      <x:c r="L18" s="66" t="n">
        <x:v>0.0609264276175343</x:v>
      </x:c>
      <x:c r="M18" s="66" t="n">
        <x:v>0.000299047653299557</x:v>
      </x:c>
      <x:c r="N18" s="66" t="n">
        <x:v>0.00817696265032739</x:v>
      </x:c>
      <x:c r="O18" s="66" t="n">
        <x:v>0.0611746847650583</x:v>
      </x:c>
      <x:c r="P18" s="66" t="n">
        <x:v>0.00604567980588165</x:v>
      </x:c>
      <x:c r="Q18" s="66" t="n">
        <x:v>5.25374149696557e-9</x:v>
      </x:c>
      <x:c r="R18" s="66" t="str">
        <x:v>C:\Users\admin\.codex\.chatgpt-projects\g-p-6910508be2a081919b9cb5881a96c92b\overnight_refinement_2026-08-27\reports\017_7k_Mp1p15_Ap2_Op0p00001_ise_report.json</x:v>
      </x:c>
    </x:row>
    <x:row r="19">
      <x:c r="A19" s="66" t="str">
        <x:v>018_7k_Mp1p15_Ap2_Op0p0001_ise</x:v>
      </x:c>
      <x:c r="B19" s="66" t="str">
        <x:v>7k</x:v>
      </x:c>
      <x:c r="C19" s="66" t="n">
        <x:v>1.15</x:v>
      </x:c>
      <x:c r="D19" s="66" t="n">
        <x:v>2</x:v>
      </x:c>
      <x:c r="E19" s="66" t="n">
        <x:v>0.0001</x:v>
      </x:c>
      <x:c r="F19" s="66" t="str">
        <x:v>isentropic</x:v>
      </x:c>
      <x:c r="G19" s="66" t="str">
        <x:v>FQRUP</x:v>
      </x:c>
      <x:c r="H19" s="66" t="str">
        <x:v>OK</x:v>
      </x:c>
      <x:c r="I19" s="66" t="n">
        <x:v>1</x:v>
      </x:c>
      <x:c r="J19" s="66" t="n">
        <x:v>0</x:v>
      </x:c>
      <x:c r="K19" s="66" t="n">
        <x:v>10.031</x:v>
      </x:c>
      <x:c r="L19" s="66" t="n">
        <x:v>0.0609273243196446</x:v>
      </x:c>
      <x:c r="M19" s="66" t="n">
        <x:v>0.000304714868845009</x:v>
      </x:c>
      <x:c r="N19" s="66" t="n">
        <x:v>0.00818678563549273</x:v>
      </x:c>
      <x:c r="O19" s="66" t="n">
        <x:v>0.0611759237381602</x:v>
      </x:c>
      <x:c r="P19" s="66" t="n">
        <x:v>0.00605546551269749</x:v>
      </x:c>
      <x:c r="Q19" s="66" t="n">
        <x:v>5.25119286777259e-8</x:v>
      </x:c>
      <x:c r="R19" s="66" t="str">
        <x:v>C:\Users\admin\.codex\.chatgpt-projects\g-p-6910508be2a081919b9cb5881a96c92b\overnight_refinement_2026-08-27\reports\018_7k_Mp1p15_Ap2_Op0p0001_ise_report.json</x:v>
      </x:c>
    </x:row>
    <x:row r="20">
      <x:c r="A20" s="66" t="str">
        <x:v>019_7k_Mp1p15_Ap4_Op0p00001_ise</x:v>
      </x:c>
      <x:c r="B20" s="66" t="str">
        <x:v>7k</x:v>
      </x:c>
      <x:c r="C20" s="66" t="n">
        <x:v>1.15</x:v>
      </x:c>
      <x:c r="D20" s="66" t="n">
        <x:v>4</x:v>
      </x:c>
      <x:c r="E20" s="66" t="n">
        <x:v>0.00001</x:v>
      </x:c>
      <x:c r="F20" s="66" t="str">
        <x:v>isentropic</x:v>
      </x:c>
      <x:c r="G20" s="66" t="str">
        <x:v>FQRUP</x:v>
      </x:c>
      <x:c r="H20" s="66" t="str">
        <x:v>OK</x:v>
      </x:c>
      <x:c r="I20" s="66" t="n">
        <x:v>1</x:v>
      </x:c>
      <x:c r="J20" s="66" t="n">
        <x:v>0</x:v>
      </x:c>
      <x:c r="K20" s="66" t="n">
        <x:v>10.75</x:v>
      </x:c>
      <x:c r="L20" s="66" t="n">
        <x:v>0.0581326835346799</x:v>
      </x:c>
      <x:c r="M20" s="66" t="n">
        <x:v>-0.00206595196741069</x:v>
      </x:c>
      <x:c r="N20" s="66" t="n">
        <x:v>0.0245634241081195</x:v>
      </x:c>
      <x:c r="O20" s="66" t="n">
        <x:v>0.0597045330881917</x:v>
      </x:c>
      <x:c r="P20" s="66" t="n">
        <x:v>0.0204484578288831</x:v>
      </x:c>
      <x:c r="Q20" s="66" t="n">
        <x:v>5.41212296182506e-9</x:v>
      </x:c>
      <x:c r="R20" s="66" t="str">
        <x:v>C:\Users\admin\.codex\.chatgpt-projects\g-p-6910508be2a081919b9cb5881a96c92b\overnight_refinement_2026-08-27\reports\019_7k_Mp1p15_Ap4_Op0p00001_ise_report.json</x:v>
      </x:c>
    </x:row>
    <x:row r="21">
      <x:c r="A21" s="66" t="str">
        <x:v>020_7k_Mp1p15_Ap4_Op0p0001_ise</x:v>
      </x:c>
      <x:c r="B21" s="66" t="str">
        <x:v>7k</x:v>
      </x:c>
      <x:c r="C21" s="66" t="n">
        <x:v>1.15</x:v>
      </x:c>
      <x:c r="D21" s="66" t="n">
        <x:v>4</x:v>
      </x:c>
      <x:c r="E21" s="66" t="n">
        <x:v>0.0001</x:v>
      </x:c>
      <x:c r="F21" s="66" t="str">
        <x:v>isentropic</x:v>
      </x:c>
      <x:c r="G21" s="66" t="str">
        <x:v>FQRUP</x:v>
      </x:c>
      <x:c r="H21" s="66" t="str">
        <x:v>OK</x:v>
      </x:c>
      <x:c r="I21" s="66" t="n">
        <x:v>1</x:v>
      </x:c>
      <x:c r="J21" s="66" t="n">
        <x:v>0</x:v>
      </x:c>
      <x:c r="K21" s="66" t="n">
        <x:v>9.938</x:v>
      </x:c>
      <x:c r="L21" s="66" t="n">
        <x:v>0.058132931031853</x:v>
      </x:c>
      <x:c r="M21" s="66" t="n">
        <x:v>-0.00206958970571587</x:v>
      </x:c>
      <x:c r="N21" s="66" t="n">
        <x:v>0.0245676089954722</x:v>
      </x:c>
      <x:c r="O21" s="66" t="n">
        <x:v>0.0597050719054589</x:v>
      </x:c>
      <x:c r="P21" s="66" t="n">
        <x:v>0.0204526152575304</x:v>
      </x:c>
      <x:c r="Q21" s="66" t="n">
        <x:v>5.40760647797831e-8</x:v>
      </x:c>
      <x:c r="R21" s="66" t="str">
        <x:v>C:\Users\admin\.codex\.chatgpt-projects\g-p-6910508be2a081919b9cb5881a96c92b\overnight_refinement_2026-08-27\reports\020_7k_Mp1p15_Ap4_Op0p0001_ise_report.json</x:v>
      </x:c>
    </x:row>
    <x:row r="22">
      <x:c r="A22" s="66" t="str">
        <x:v>021_7k_Mp1p2_Am4_Op0p00001_ise</x:v>
      </x:c>
      <x:c r="B22" s="66" t="str">
        <x:v>7k</x:v>
      </x:c>
      <x:c r="C22" s="66" t="n">
        <x:v>1.2</x:v>
      </x:c>
      <x:c r="D22" s="66" t="n">
        <x:v>-4</x:v>
      </x:c>
      <x:c r="E22" s="66" t="n">
        <x:v>0.00001</x:v>
      </x:c>
      <x:c r="F22" s="66" t="str">
        <x:v>isentropic</x:v>
      </x:c>
      <x:c r="G22" s="66" t="str">
        <x:v>FQRUP</x:v>
      </x:c>
      <x:c r="H22" s="66" t="str">
        <x:v>OK</x:v>
      </x:c>
      <x:c r="I22" s="66" t="n">
        <x:v>1</x:v>
      </x:c>
      <x:c r="J22" s="66" t="n">
        <x:v>0</x:v>
      </x:c>
      <x:c r="K22" s="66" t="n">
        <x:v>9.5</x:v>
      </x:c>
      <x:c r="L22" s="66" t="n">
        <x:v>0.0496388859564253</x:v>
      </x:c>
      <x:c r="M22" s="66" t="n">
        <x:v>-0.00499255253208316</x:v>
      </x:c>
      <x:c r="N22" s="66" t="n">
        <x:v>-0.0068150598670652</x:v>
      </x:c>
      <x:c r="O22" s="66" t="n">
        <x:v>0.0499933626697587</x:v>
      </x:c>
      <x:c r="P22" s="66" t="n">
        <x:v>-0.00333582507884573</x:v>
      </x:c>
      <x:c r="Q22" s="66" t="n">
        <x:v>5.53353387816636e-9</x:v>
      </x:c>
      <x:c r="R22" s="66" t="str">
        <x:v>C:\Users\admin\.codex\.chatgpt-projects\g-p-6910508be2a081919b9cb5881a96c92b\overnight_refinement_2026-08-27\reports\021_7k_Mp1p2_Am4_Op0p00001_ise_report.json</x:v>
      </x:c>
    </x:row>
    <x:row r="23">
      <x:c r="A23" s="66" t="str">
        <x:v>022_7k_Mp1p2_Am4_Op0p0001_ise</x:v>
      </x:c>
      <x:c r="B23" s="66" t="str">
        <x:v>7k</x:v>
      </x:c>
      <x:c r="C23" s="66" t="n">
        <x:v>1.2</x:v>
      </x:c>
      <x:c r="D23" s="66" t="n">
        <x:v>-4</x:v>
      </x:c>
      <x:c r="E23" s="66" t="n">
        <x:v>0.0001</x:v>
      </x:c>
      <x:c r="F23" s="66" t="str">
        <x:v>isentropic</x:v>
      </x:c>
      <x:c r="G23" s="66" t="str">
        <x:v>FQRUP</x:v>
      </x:c>
      <x:c r="H23" s="66" t="str">
        <x:v>OK</x:v>
      </x:c>
      <x:c r="I23" s="66" t="n">
        <x:v>1</x:v>
      </x:c>
      <x:c r="J23" s="66" t="n">
        <x:v>0</x:v>
      </x:c>
      <x:c r="K23" s="66" t="n">
        <x:v>9.484</x:v>
      </x:c>
      <x:c r="L23" s="66" t="n">
        <x:v>0.0496395814289994</x:v>
      </x:c>
      <x:c r="M23" s="66" t="n">
        <x:v>-0.00499606672417626</x:v>
      </x:c>
      <x:c r="N23" s="66" t="n">
        <x:v>-0.00680449845375335</x:v>
      </x:c>
      <x:c r="O23" s="66" t="n">
        <x:v>0.0499933197212462</x:v>
      </x:c>
      <x:c r="P23" s="66" t="n">
        <x:v>-0.00332524087889154</x:v>
      </x:c>
      <x:c r="Q23" s="66" t="n">
        <x:v>5.53715106088967e-8</x:v>
      </x:c>
      <x:c r="R23" s="66" t="str">
        <x:v>C:\Users\admin\.codex\.chatgpt-projects\g-p-6910508be2a081919b9cb5881a96c92b\overnight_refinement_2026-08-27\reports\022_7k_Mp1p2_Am4_Op0p0001_ise_report.json</x:v>
      </x:c>
    </x:row>
    <x:row r="24">
      <x:c r="A24" s="66" t="str">
        <x:v>023_7k_Mp1p2_Am2_Op0p00001_ise</x:v>
      </x:c>
      <x:c r="B24" s="66" t="str">
        <x:v>7k</x:v>
      </x:c>
      <x:c r="C24" s="66" t="n">
        <x:v>1.2</x:v>
      </x:c>
      <x:c r="D24" s="66" t="n">
        <x:v>-2</x:v>
      </x:c>
      <x:c r="E24" s="66" t="n">
        <x:v>0.00001</x:v>
      </x:c>
      <x:c r="F24" s="66" t="str">
        <x:v>isentropic</x:v>
      </x:c>
      <x:c r="G24" s="66" t="str">
        <x:v>FQRUP</x:v>
      </x:c>
      <x:c r="H24" s="66" t="str">
        <x:v>OK</x:v>
      </x:c>
      <x:c r="I24" s="66" t="n">
        <x:v>1</x:v>
      </x:c>
      <x:c r="J24" s="66" t="n">
        <x:v>0</x:v>
      </x:c>
      <x:c r="K24" s="66" t="n">
        <x:v>9.546</x:v>
      </x:c>
      <x:c r="L24" s="66" t="n">
        <x:v>0.0554207868913192</x:v>
      </x:c>
      <x:c r="M24" s="66" t="n">
        <x:v>-0.00212644427831395</x:v>
      </x:c>
      <x:c r="N24" s="66" t="n">
        <x:v>0.0102669276596291</x:v>
      </x:c>
      <x:c r="O24" s="66" t="n">
        <x:v>0.0550287154373625</x:v>
      </x:c>
      <x:c r="P24" s="66" t="n">
        <x:v>0.0121948308940656</x:v>
      </x:c>
      <x:c r="Q24" s="66" t="n">
        <x:v>5.52275274994893e-9</x:v>
      </x:c>
      <x:c r="R24" s="66" t="str">
        <x:v>C:\Users\admin\.codex\.chatgpt-projects\g-p-6910508be2a081919b9cb5881a96c92b\overnight_refinement_2026-08-27\reports\023_7k_Mp1p2_Am2_Op0p00001_ise_report.json</x:v>
      </x:c>
    </x:row>
    <x:row r="25">
      <x:c r="A25" s="66" t="str">
        <x:v>024_7k_Mp1p2_Am2_Op0p0001_ise</x:v>
      </x:c>
      <x:c r="B25" s="66" t="str">
        <x:v>7k</x:v>
      </x:c>
      <x:c r="C25" s="66" t="n">
        <x:v>1.2</x:v>
      </x:c>
      <x:c r="D25" s="66" t="n">
        <x:v>-2</x:v>
      </x:c>
      <x:c r="E25" s="66" t="n">
        <x:v>0.0001</x:v>
      </x:c>
      <x:c r="F25" s="66" t="str">
        <x:v>isentropic</x:v>
      </x:c>
      <x:c r="G25" s="66" t="str">
        <x:v>FQRUP</x:v>
      </x:c>
      <x:c r="H25" s="66" t="str">
        <x:v>OK</x:v>
      </x:c>
      <x:c r="I25" s="66" t="n">
        <x:v>1</x:v>
      </x:c>
      <x:c r="J25" s="66" t="n">
        <x:v>0</x:v>
      </x:c>
      <x:c r="K25" s="66" t="n">
        <x:v>9.5</x:v>
      </x:c>
      <x:c r="L25" s="66" t="n">
        <x:v>0.0554188343976365</x:v>
      </x:c>
      <x:c r="M25" s="66" t="n">
        <x:v>-0.00212630530614307</x:v>
      </x:c>
      <x:c r="N25" s="66" t="n">
        <x:v>0.0102629872740888</x:v>
      </x:c>
      <x:c r="O25" s="66" t="n">
        <x:v>0.0550269016505584</x:v>
      </x:c>
      <x:c r="P25" s="66" t="n">
        <x:v>0.0121908247678548</x:v>
      </x:c>
      <x:c r="Q25" s="66" t="n">
        <x:v>5.52547577259688e-8</x:v>
      </x:c>
      <x:c r="R25" s="66" t="str">
        <x:v>C:\Users\admin\.codex\.chatgpt-projects\g-p-6910508be2a081919b9cb5881a96c92b\overnight_refinement_2026-08-27\reports\024_7k_Mp1p2_Am2_Op0p0001_ise_report.json</x:v>
      </x:c>
    </x:row>
    <x:row r="26">
      <x:c r="A26" s="66" t="str">
        <x:v>025_7k_Mp1p2_Ap0_Op0p00001_ise</x:v>
      </x:c>
      <x:c r="B26" s="66" t="str">
        <x:v>7k</x:v>
      </x:c>
      <x:c r="C26" s="66" t="n">
        <x:v>1.2</x:v>
      </x:c>
      <x:c r="D26" s="66" t="n">
        <x:v>0</x:v>
      </x:c>
      <x:c r="E26" s="66" t="n">
        <x:v>0.00001</x:v>
      </x:c>
      <x:c r="F26" s="66" t="str">
        <x:v>isentropic</x:v>
      </x:c>
      <x:c r="G26" s="66" t="str">
        <x:v>FQRUP</x:v>
      </x:c>
      <x:c r="H26" s="66" t="str">
        <x:v>OK</x:v>
      </x:c>
      <x:c r="I26" s="66" t="n">
        <x:v>1</x:v>
      </x:c>
      <x:c r="J26" s="66" t="n">
        <x:v>0</x:v>
      </x:c>
      <x:c r="K26" s="66" t="n">
        <x:v>9.437</x:v>
      </x:c>
      <x:c r="L26" s="66" t="n">
        <x:v>0.058878200944457</x:v>
      </x:c>
      <x:c r="M26" s="66" t="n">
        <x:v>-0.00176989205186026</x:v>
      </x:c>
      <x:c r="N26" s="66" t="n">
        <x:v>0.00682778488614331</x:v>
      </x:c>
      <x:c r="O26" s="66" t="n">
        <x:v>0.058878200944457</x:v>
      </x:c>
      <x:c r="P26" s="66" t="n">
        <x:v>0.00682778488614331</x:v>
      </x:c>
      <x:c r="Q26" s="66" t="n">
        <x:v>5.68833885986427e-9</x:v>
      </x:c>
      <x:c r="R26" s="66" t="str">
        <x:v>C:\Users\admin\.codex\.chatgpt-projects\g-p-6910508be2a081919b9cb5881a96c92b\overnight_refinement_2026-08-27\reports\025_7k_Mp1p2_Ap0_Op0p00001_ise_report.json</x:v>
      </x:c>
    </x:row>
    <x:row r="27">
      <x:c r="A27" s="66" t="str">
        <x:v>026_7k_Mp1p2_Ap0_Op0p0001_ise</x:v>
      </x:c>
      <x:c r="B27" s="66" t="str">
        <x:v>7k</x:v>
      </x:c>
      <x:c r="C27" s="66" t="n">
        <x:v>1.2</x:v>
      </x:c>
      <x:c r="D27" s="66" t="n">
        <x:v>0</x:v>
      </x:c>
      <x:c r="E27" s="66" t="n">
        <x:v>0.0001</x:v>
      </x:c>
      <x:c r="F27" s="66" t="str">
        <x:v>isentropic</x:v>
      </x:c>
      <x:c r="G27" s="66" t="str">
        <x:v>FQRUP</x:v>
      </x:c>
      <x:c r="H27" s="66" t="str">
        <x:v>OK</x:v>
      </x:c>
      <x:c r="I27" s="66" t="n">
        <x:v>1</x:v>
      </x:c>
      <x:c r="J27" s="66" t="n">
        <x:v>0</x:v>
      </x:c>
      <x:c r="K27" s="66" t="n">
        <x:v>9.343</x:v>
      </x:c>
      <x:c r="L27" s="66" t="n">
        <x:v>0.0588735597819982</x:v>
      </x:c>
      <x:c r="M27" s="66" t="n">
        <x:v>-0.00177432174415987</x:v>
      </x:c>
      <x:c r="N27" s="66" t="n">
        <x:v>0.00683469680125914</x:v>
      </x:c>
      <x:c r="O27" s="66" t="n">
        <x:v>0.0588735597819982</x:v>
      </x:c>
      <x:c r="P27" s="66" t="n">
        <x:v>0.00683469680125914</x:v>
      </x:c>
      <x:c r="Q27" s="66" t="n">
        <x:v>5.6890503476862e-8</x:v>
      </x:c>
      <x:c r="R27" s="66" t="str">
        <x:v>C:\Users\admin\.codex\.chatgpt-projects\g-p-6910508be2a081919b9cb5881a96c92b\overnight_refinement_2026-08-27\reports\026_7k_Mp1p2_Ap0_Op0p0001_ise_report.json</x:v>
      </x:c>
    </x:row>
    <x:row r="28">
      <x:c r="A28" s="66" t="str">
        <x:v>027_7k_Mp1p2_Ap2_Op0p00001_ise</x:v>
      </x:c>
      <x:c r="B28" s="66" t="str">
        <x:v>7k</x:v>
      </x:c>
      <x:c r="C28" s="66" t="n">
        <x:v>1.2</x:v>
      </x:c>
      <x:c r="D28" s="66" t="n">
        <x:v>2</x:v>
      </x:c>
      <x:c r="E28" s="66" t="n">
        <x:v>0.00001</x:v>
      </x:c>
      <x:c r="F28" s="66" t="str">
        <x:v>isentropic</x:v>
      </x:c>
      <x:c r="G28" s="66" t="str">
        <x:v>FQRUP</x:v>
      </x:c>
      <x:c r="H28" s="66" t="str">
        <x:v>OK</x:v>
      </x:c>
      <x:c r="I28" s="66" t="n">
        <x:v>1</x:v>
      </x:c>
      <x:c r="J28" s="66" t="n">
        <x:v>0</x:v>
      </x:c>
      <x:c r="K28" s="66" t="n">
        <x:v>9.375</x:v>
      </x:c>
      <x:c r="L28" s="66" t="n">
        <x:v>0.0583022820062424</x:v>
      </x:c>
      <x:c r="M28" s="66" t="n">
        <x:v>0.000198368631470385</x:v>
      </x:c>
      <x:c r="N28" s="66" t="n">
        <x:v>-0.00201228017163286</x:v>
      </x:c>
      <x:c r="O28" s="66" t="n">
        <x:v>0.0581965382661047</x:v>
      </x:c>
      <x:c r="P28" s="66" t="n">
        <x:v>-0.00404577464354743</x:v>
      </x:c>
      <x:c r="Q28" s="66" t="n">
        <x:v>5.90135510635763e-9</x:v>
      </x:c>
      <x:c r="R28" s="66" t="str">
        <x:v>C:\Users\admin\.codex\.chatgpt-projects\g-p-6910508be2a081919b9cb5881a96c92b\overnight_refinement_2026-08-27\reports\027_7k_Mp1p2_Ap2_Op0p00001_ise_report.json</x:v>
      </x:c>
    </x:row>
    <x:row r="29">
      <x:c r="A29" s="66" t="str">
        <x:v>028_7k_Mp1p2_Ap2_Op0p0001_ise</x:v>
      </x:c>
      <x:c r="B29" s="66" t="str">
        <x:v>7k</x:v>
      </x:c>
      <x:c r="C29" s="66" t="n">
        <x:v>1.2</x:v>
      </x:c>
      <x:c r="D29" s="66" t="n">
        <x:v>2</x:v>
      </x:c>
      <x:c r="E29" s="66" t="n">
        <x:v>0.0001</x:v>
      </x:c>
      <x:c r="F29" s="66" t="str">
        <x:v>isentropic</x:v>
      </x:c>
      <x:c r="G29" s="66" t="str">
        <x:v>FQRUP</x:v>
      </x:c>
      <x:c r="H29" s="66" t="str">
        <x:v>OK</x:v>
      </x:c>
      <x:c r="I29" s="66" t="n">
        <x:v>1</x:v>
      </x:c>
      <x:c r="J29" s="66" t="n">
        <x:v>0</x:v>
      </x:c>
      <x:c r="K29" s="66" t="n">
        <x:v>9.5</x:v>
      </x:c>
      <x:c r="L29" s="66" t="n">
        <x:v>0.058300581322873</x:v>
      </x:c>
      <x:c r="M29" s="66" t="n">
        <x:v>0.000199292179750602</x:v>
      </x:c>
      <x:c r="N29" s="66" t="n">
        <x:v>-0.00200315859212596</x:v>
      </x:c>
      <x:c r="O29" s="66" t="n">
        <x:v>0.0581951569572796</x:v>
      </x:c>
      <x:c r="P29" s="66" t="n">
        <x:v>-0.00403659926766667</x:v>
      </x:c>
      <x:c r="Q29" s="66" t="n">
        <x:v>5.90020262746722e-8</x:v>
      </x:c>
      <x:c r="R29" s="66" t="str">
        <x:v>C:\Users\admin\.codex\.chatgpt-projects\g-p-6910508be2a081919b9cb5881a96c92b\overnight_refinement_2026-08-27\reports\028_7k_Mp1p2_Ap2_Op0p0001_ise_report.json</x:v>
      </x:c>
    </x:row>
    <x:row r="30">
      <x:c r="A30" s="66" t="str">
        <x:v>029_7k_Mp1p2_Ap4_Op0p00001_ise</x:v>
      </x:c>
      <x:c r="B30" s="66" t="str">
        <x:v>7k</x:v>
      </x:c>
      <x:c r="C30" s="66" t="n">
        <x:v>1.2</x:v>
      </x:c>
      <x:c r="D30" s="66" t="n">
        <x:v>4</x:v>
      </x:c>
      <x:c r="E30" s="66" t="n">
        <x:v>0.00001</x:v>
      </x:c>
      <x:c r="F30" s="66" t="str">
        <x:v>isentropic</x:v>
      </x:c>
      <x:c r="G30" s="66" t="str">
        <x:v>FQRUP</x:v>
      </x:c>
      <x:c r="H30" s="66" t="str">
        <x:v>OK</x:v>
      </x:c>
      <x:c r="I30" s="66" t="n">
        <x:v>1</x:v>
      </x:c>
      <x:c r="J30" s="66" t="n">
        <x:v>0</x:v>
      </x:c>
      <x:c r="K30" s="66" t="n">
        <x:v>9.547</x:v>
      </x:c>
      <x:c r="L30" s="66" t="n">
        <x:v>0.0536015626284032</x:v>
      </x:c>
      <x:c r="M30" s="66" t="n">
        <x:v>0.00374993362918722</x:v>
      </x:c>
      <x:c r="N30" s="66" t="n">
        <x:v>0.0112871043516905</x:v>
      </x:c>
      <x:c r="O30" s="66" t="n">
        <x:v>0.0542583405142014</x:v>
      </x:c>
      <x:c r="P30" s="66" t="n">
        <x:v>0.00752055353664537</x:v>
      </x:c>
      <x:c r="Q30" s="66" t="n">
        <x:v>6.13440863743544e-9</x:v>
      </x:c>
      <x:c r="R30" s="66" t="str">
        <x:v>C:\Users\admin\.codex\.chatgpt-projects\g-p-6910508be2a081919b9cb5881a96c92b\overnight_refinement_2026-08-27\reports\029_7k_Mp1p2_Ap4_Op0p00001_ise_report.json</x:v>
      </x:c>
    </x:row>
    <x:row r="31">
      <x:c r="A31" s="66" t="str">
        <x:v>030_7k_Mp1p2_Ap4_Op0p0001_ise</x:v>
      </x:c>
      <x:c r="B31" s="66" t="str">
        <x:v>7k</x:v>
      </x:c>
      <x:c r="C31" s="66" t="n">
        <x:v>1.2</x:v>
      </x:c>
      <x:c r="D31" s="66" t="n">
        <x:v>4</x:v>
      </x:c>
      <x:c r="E31" s="66" t="n">
        <x:v>0.0001</x:v>
      </x:c>
      <x:c r="F31" s="66" t="str">
        <x:v>isentropic</x:v>
      </x:c>
      <x:c r="G31" s="66" t="str">
        <x:v>FQRUP</x:v>
      </x:c>
      <x:c r="H31" s="66" t="str">
        <x:v>OK</x:v>
      </x:c>
      <x:c r="I31" s="66" t="n">
        <x:v>1</x:v>
      </x:c>
      <x:c r="J31" s="66" t="n">
        <x:v>0</x:v>
      </x:c>
      <x:c r="K31" s="66" t="n">
        <x:v>9.437</x:v>
      </x:c>
      <x:c r="L31" s="66" t="n">
        <x:v>0.0536007202439202</x:v>
      </x:c>
      <x:c r="M31" s="66" t="n">
        <x:v>0.00375832704359624</x:v>
      </x:c>
      <x:c r="N31" s="66" t="n">
        <x:v>0.0113068486667873</x:v>
      </x:c>
      <x:c r="O31" s="66" t="n">
        <x:v>0.0542588774755223</x:v>
      </x:c>
      <x:c r="P31" s="66" t="n">
        <x:v>0.00754030851735401</x:v>
      </x:c>
      <x:c r="Q31" s="66" t="n">
        <x:v>6.13124399366502e-8</x:v>
      </x:c>
      <x:c r="R31" s="66" t="str">
        <x:v>C:\Users\admin\.codex\.chatgpt-projects\g-p-6910508be2a081919b9cb5881a96c92b\overnight_refinement_2026-08-27\reports\030_7k_Mp1p2_Ap4_Op0p0001_ise_report.json</x:v>
      </x:c>
    </x:row>
    <x:row r="32">
      <x:c r="A32" s="66" t="str">
        <x:v>031_7k_Mp1p25_Am4_Op0p00001_ise</x:v>
      </x:c>
      <x:c r="B32" s="66" t="str">
        <x:v>7k</x:v>
      </x:c>
      <x:c r="C32" s="66" t="n">
        <x:v>1.25</x:v>
      </x:c>
      <x:c r="D32" s="66" t="n">
        <x:v>-4</x:v>
      </x:c>
      <x:c r="E32" s="66" t="n">
        <x:v>0.00001</x:v>
      </x:c>
      <x:c r="F32" s="66" t="str">
        <x:v>isentropic</x:v>
      </x:c>
      <x:c r="G32" s="66" t="str">
        <x:v>FQRUP</x:v>
      </x:c>
      <x:c r="H32" s="66" t="str">
        <x:v>OK</x:v>
      </x:c>
      <x:c r="I32" s="66" t="n">
        <x:v>1</x:v>
      </x:c>
      <x:c r="J32" s="66" t="n">
        <x:v>0</x:v>
      </x:c>
      <x:c r="K32" s="66" t="n">
        <x:v>8.875</x:v>
      </x:c>
      <x:c r="L32" s="66" t="n">
        <x:v>0.0495853939722645</x:v>
      </x:c>
      <x:c r="M32" s="66" t="n">
        <x:v>0.00236188090057098</x:v>
      </x:c>
      <x:c r="N32" s="66" t="n">
        <x:v>0.00239053006031077</x:v>
      </x:c>
      <x:c r="O32" s="66" t="n">
        <x:v>0.0492978514973146</x:v>
      </x:c>
      <x:c r="P32" s="66" t="n">
        <x:v>0.00584360908194985</x:v>
      </x:c>
      <x:c r="Q32" s="66" t="n">
        <x:v>5.75069762309068e-9</x:v>
      </x:c>
      <x:c r="R32" s="66" t="str">
        <x:v>C:\Users\admin\.codex\.chatgpt-projects\g-p-6910508be2a081919b9cb5881a96c92b\overnight_refinement_2026-08-27\reports\031_7k_Mp1p25_Am4_Op0p00001_ise_report.json</x:v>
      </x:c>
    </x:row>
    <x:row r="33">
      <x:c r="A33" s="66" t="str">
        <x:v>032_7k_Mp1p25_Am4_Op0p0001_ise</x:v>
      </x:c>
      <x:c r="B33" s="66" t="str">
        <x:v>7k</x:v>
      </x:c>
      <x:c r="C33" s="66" t="n">
        <x:v>1.25</x:v>
      </x:c>
      <x:c r="D33" s="66" t="n">
        <x:v>-4</x:v>
      </x:c>
      <x:c r="E33" s="66" t="n">
        <x:v>0.0001</x:v>
      </x:c>
      <x:c r="F33" s="66" t="str">
        <x:v>isentropic</x:v>
      </x:c>
      <x:c r="G33" s="66" t="str">
        <x:v>FQRUP</x:v>
      </x:c>
      <x:c r="H33" s="66" t="str">
        <x:v>OK</x:v>
      </x:c>
      <x:c r="I33" s="66" t="n">
        <x:v>1</x:v>
      </x:c>
      <x:c r="J33" s="66" t="n">
        <x:v>0</x:v>
      </x:c>
      <x:c r="K33" s="66" t="n">
        <x:v>8.984</x:v>
      </x:c>
      <x:c r="L33" s="66" t="n">
        <x:v>0.0495830209067772</x:v>
      </x:c>
      <x:c r="M33" s="66" t="n">
        <x:v>0.00235994850417645</x:v>
      </x:c>
      <x:c r="N33" s="66" t="n">
        <x:v>0.00238519177921437</x:v>
      </x:c>
      <x:c r="O33" s="66" t="n">
        <x:v>0.0492958565921607</x:v>
      </x:c>
      <x:c r="P33" s="66" t="n">
        <x:v>0.00583811826795754</x:v>
      </x:c>
      <x:c r="Q33" s="66" t="n">
        <x:v>5.75709603225539e-8</x:v>
      </x:c>
      <x:c r="R33" s="66" t="str">
        <x:v>C:\Users\admin\.codex\.chatgpt-projects\g-p-6910508be2a081919b9cb5881a96c92b\overnight_refinement_2026-08-27\reports\032_7k_Mp1p25_Am4_Op0p0001_ise_report.json</x:v>
      </x:c>
    </x:row>
    <x:row r="34">
      <x:c r="A34" s="66" t="str">
        <x:v>033_7k_Mp1p25_Am2_Op0p00001_ise</x:v>
      </x:c>
      <x:c r="B34" s="66" t="str">
        <x:v>7k</x:v>
      </x:c>
      <x:c r="C34" s="66" t="n">
        <x:v>1.25</x:v>
      </x:c>
      <x:c r="D34" s="66" t="n">
        <x:v>-2</x:v>
      </x:c>
      <x:c r="E34" s="66" t="n">
        <x:v>0.00001</x:v>
      </x:c>
      <x:c r="F34" s="66" t="str">
        <x:v>isentropic</x:v>
      </x:c>
      <x:c r="G34" s="66" t="str">
        <x:v>FQRUP</x:v>
      </x:c>
      <x:c r="H34" s="66" t="str">
        <x:v>OK</x:v>
      </x:c>
      <x:c r="I34" s="66" t="n">
        <x:v>1</x:v>
      </x:c>
      <x:c r="J34" s="66" t="n">
        <x:v>0</x:v>
      </x:c>
      <x:c r="K34" s="66" t="n">
        <x:v>8.843</x:v>
      </x:c>
      <x:c r="L34" s="66" t="n">
        <x:v>0.0534119215224616</x:v>
      </x:c>
      <x:c r="M34" s="66" t="n">
        <x:v>0.000777508441202596</x:v>
      </x:c>
      <x:c r="N34" s="66" t="n">
        <x:v>0.00992650765326721</x:v>
      </x:c>
      <x:c r="O34" s="66" t="n">
        <x:v>0.0530329543018994</x:v>
      </x:c>
      <x:c r="P34" s="66" t="n">
        <x:v>0.0117845098720575</x:v>
      </x:c>
      <x:c r="Q34" s="66" t="n">
        <x:v>5.75356732701827e-9</x:v>
      </x:c>
      <x:c r="R34" s="66" t="str">
        <x:v>C:\Users\admin\.codex\.chatgpt-projects\g-p-6910508be2a081919b9cb5881a96c92b\overnight_refinement_2026-08-27\reports\033_7k_Mp1p25_Am2_Op0p00001_ise_report.json</x:v>
      </x:c>
    </x:row>
    <x:row r="35">
      <x:c r="A35" s="66" t="str">
        <x:v>034_7k_Mp1p25_Am2_Op0p0001_ise</x:v>
      </x:c>
      <x:c r="B35" s="66" t="str">
        <x:v>7k</x:v>
      </x:c>
      <x:c r="C35" s="66" t="n">
        <x:v>1.25</x:v>
      </x:c>
      <x:c r="D35" s="66" t="n">
        <x:v>-2</x:v>
      </x:c>
      <x:c r="E35" s="66" t="n">
        <x:v>0.0001</x:v>
      </x:c>
      <x:c r="F35" s="66" t="str">
        <x:v>isentropic</x:v>
      </x:c>
      <x:c r="G35" s="66" t="str">
        <x:v>FQRUP</x:v>
      </x:c>
      <x:c r="H35" s="66" t="str">
        <x:v>OK</x:v>
      </x:c>
      <x:c r="I35" s="66" t="n">
        <x:v>1</x:v>
      </x:c>
      <x:c r="J35" s="66" t="n">
        <x:v>0</x:v>
      </x:c>
      <x:c r="K35" s="66" t="n">
        <x:v>9</x:v>
      </x:c>
      <x:c r="L35" s="66" t="n">
        <x:v>0.0534070562123715</x:v>
      </x:c>
      <x:c r="M35" s="66" t="n">
        <x:v>0.000776374847621866</x:v>
      </x:c>
      <x:c r="N35" s="66" t="n">
        <x:v>0.0099230123299488</x:v>
      </x:c>
      <x:c r="O35" s="66" t="n">
        <x:v>0.0530282139406494</x:v>
      </x:c>
      <x:c r="P35" s="66" t="n">
        <x:v>0.0117808468811222</x:v>
      </x:c>
      <x:c r="Q35" s="66" t="n">
        <x:v>5.75898781280919e-8</x:v>
      </x:c>
      <x:c r="R35" s="66" t="str">
        <x:v>C:\Users\admin\.codex\.chatgpt-projects\g-p-6910508be2a081919b9cb5881a96c92b\overnight_refinement_2026-08-27\reports\034_7k_Mp1p25_Am2_Op0p0001_ise_report.json</x:v>
      </x:c>
    </x:row>
    <x:row r="36">
      <x:c r="A36" s="66" t="str">
        <x:v>035_7k_Mp1p25_Ap0_Op0p00001_ise</x:v>
      </x:c>
      <x:c r="B36" s="66" t="str">
        <x:v>7k</x:v>
      </x:c>
      <x:c r="C36" s="66" t="n">
        <x:v>1.25</x:v>
      </x:c>
      <x:c r="D36" s="66" t="n">
        <x:v>0</x:v>
      </x:c>
      <x:c r="E36" s="66" t="n">
        <x:v>0.00001</x:v>
      </x:c>
      <x:c r="F36" s="66" t="str">
        <x:v>isentropic</x:v>
      </x:c>
      <x:c r="G36" s="66" t="str">
        <x:v>FQRUP</x:v>
      </x:c>
      <x:c r="H36" s="66" t="str">
        <x:v>OK</x:v>
      </x:c>
      <x:c r="I36" s="66" t="n">
        <x:v>1</x:v>
      </x:c>
      <x:c r="J36" s="66" t="n">
        <x:v>0</x:v>
      </x:c>
      <x:c r="K36" s="66" t="n">
        <x:v>8.891</x:v>
      </x:c>
      <x:c r="L36" s="66" t="n">
        <x:v>0.0567094621240529</x:v>
      </x:c>
      <x:c r="M36" s="66" t="n">
        <x:v>-0.00120765284880123</x:v>
      </x:c>
      <x:c r="N36" s="66" t="n">
        <x:v>0.000431515512905261</x:v>
      </x:c>
      <x:c r="O36" s="66" t="n">
        <x:v>0.0567094621240529</x:v>
      </x:c>
      <x:c r="P36" s="66" t="n">
        <x:v>0.000431515512905261</x:v>
      </x:c>
      <x:c r="Q36" s="66" t="n">
        <x:v>5.96704207493943e-9</x:v>
      </x:c>
      <x:c r="R36" s="66" t="str">
        <x:v>C:\Users\admin\.codex\.chatgpt-projects\g-p-6910508be2a081919b9cb5881a96c92b\overnight_refinement_2026-08-27\reports\035_7k_Mp1p25_Ap0_Op0p00001_ise_report.json</x:v>
      </x:c>
    </x:row>
    <x:row r="37">
      <x:c r="A37" s="66" t="str">
        <x:v>036_7k_Mp1p25_Ap0_Op0p0001_ise</x:v>
      </x:c>
      <x:c r="B37" s="66" t="str">
        <x:v>7k</x:v>
      </x:c>
      <x:c r="C37" s="66" t="n">
        <x:v>1.25</x:v>
      </x:c>
      <x:c r="D37" s="66" t="n">
        <x:v>0</x:v>
      </x:c>
      <x:c r="E37" s="66" t="n">
        <x:v>0.0001</x:v>
      </x:c>
      <x:c r="F37" s="66" t="str">
        <x:v>isentropic</x:v>
      </x:c>
      <x:c r="G37" s="66" t="str">
        <x:v>FQRUP</x:v>
      </x:c>
      <x:c r="H37" s="66" t="str">
        <x:v>OK</x:v>
      </x:c>
      <x:c r="I37" s="66" t="n">
        <x:v>1</x:v>
      </x:c>
      <x:c r="J37" s="66" t="n">
        <x:v>0</x:v>
      </x:c>
      <x:c r="K37" s="66" t="n">
        <x:v>8.782</x:v>
      </x:c>
      <x:c r="L37" s="66" t="n">
        <x:v>0.0567058696276541</x:v>
      </x:c>
      <x:c r="M37" s="66" t="n">
        <x:v>-0.00121054795516517</x:v>
      </x:c>
      <x:c r="N37" s="66" t="n">
        <x:v>0.000435590446632132</x:v>
      </x:c>
      <x:c r="O37" s="66" t="n">
        <x:v>0.0567058696276541</x:v>
      </x:c>
      <x:c r="P37" s="66" t="n">
        <x:v>0.000435590446632132</x:v>
      </x:c>
      <x:c r="Q37" s="66" t="n">
        <x:v>5.97061266887374e-8</x:v>
      </x:c>
      <x:c r="R37" s="66" t="str">
        <x:v>C:\Users\admin\.codex\.chatgpt-projects\g-p-6910508be2a081919b9cb5881a96c92b\overnight_refinement_2026-08-27\reports\036_7k_Mp1p25_Ap0_Op0p0001_ise_report.json</x:v>
      </x:c>
    </x:row>
    <x:row r="38">
      <x:c r="A38" s="66" t="str">
        <x:v>037_7k_Mp1p25_Ap2_Op0p00001_ise</x:v>
      </x:c>
      <x:c r="B38" s="66" t="str">
        <x:v>7k</x:v>
      </x:c>
      <x:c r="C38" s="66" t="n">
        <x:v>1.25</x:v>
      </x:c>
      <x:c r="D38" s="66" t="n">
        <x:v>2</x:v>
      </x:c>
      <x:c r="E38" s="66" t="n">
        <x:v>0.00001</x:v>
      </x:c>
      <x:c r="F38" s="66" t="str">
        <x:v>isentropic</x:v>
      </x:c>
      <x:c r="G38" s="66" t="str">
        <x:v>FQRUP</x:v>
      </x:c>
      <x:c r="H38" s="66" t="str">
        <x:v>OK</x:v>
      </x:c>
      <x:c r="I38" s="66" t="n">
        <x:v>1</x:v>
      </x:c>
      <x:c r="J38" s="66" t="n">
        <x:v>0</x:v>
      </x:c>
      <x:c r="K38" s="66" t="n">
        <x:v>8.828</x:v>
      </x:c>
      <x:c r="L38" s="66" t="n">
        <x:v>0.055001980309174</x:v>
      </x:c>
      <x:c r="M38" s="66" t="n">
        <x:v>-0.00140973202755023</x:v>
      </x:c>
      <x:c r="N38" s="66" t="n">
        <x:v>-0.00212400739339752</x:v>
      </x:c>
      <x:c r="O38" s="66" t="n">
        <x:v>0.0548943477998515</x:v>
      </x:c>
      <x:c r="P38" s="66" t="n">
        <x:v>-0.00404225493591326</x:v>
      </x:c>
      <x:c r="Q38" s="66" t="n">
        <x:v>6.24851641900906e-9</x:v>
      </x:c>
      <x:c r="R38" s="66" t="str">
        <x:v>C:\Users\admin\.codex\.chatgpt-projects\g-p-6910508be2a081919b9cb5881a96c92b\overnight_refinement_2026-08-27\reports\037_7k_Mp1p25_Ap2_Op0p00001_ise_report.json</x:v>
      </x:c>
    </x:row>
    <x:row r="39">
      <x:c r="A39" s="66" t="str">
        <x:v>038_7k_Mp1p25_Ap2_Op0p0001_ise</x:v>
      </x:c>
      <x:c r="B39" s="66" t="str">
        <x:v>7k</x:v>
      </x:c>
      <x:c r="C39" s="66" t="n">
        <x:v>1.25</x:v>
      </x:c>
      <x:c r="D39" s="66" t="n">
        <x:v>2</x:v>
      </x:c>
      <x:c r="E39" s="66" t="n">
        <x:v>0.0001</x:v>
      </x:c>
      <x:c r="F39" s="66" t="str">
        <x:v>isentropic</x:v>
      </x:c>
      <x:c r="G39" s="66" t="str">
        <x:v>FQRUP</x:v>
      </x:c>
      <x:c r="H39" s="66" t="str">
        <x:v>OK</x:v>
      </x:c>
      <x:c r="I39" s="66" t="n">
        <x:v>1</x:v>
      </x:c>
      <x:c r="J39" s="66" t="n">
        <x:v>0</x:v>
      </x:c>
      <x:c r="K39" s="66" t="n">
        <x:v>8.953</x:v>
      </x:c>
      <x:c r="L39" s="66" t="n">
        <x:v>0.0549962487827871</x:v>
      </x:c>
      <x:c r="M39" s="66" t="n">
        <x:v>-0.00140617832076867</x:v>
      </x:c>
      <x:c r="N39" s="66" t="n">
        <x:v>-0.00210119399480239</x:v>
      </x:c>
      <x:c r="O39" s="66" t="n">
        <x:v>0.0548894159410846</x:v>
      </x:c>
      <x:c r="P39" s="66" t="n">
        <x:v>-0.00401925540723792</x:v>
      </x:c>
      <x:c r="Q39" s="66" t="n">
        <x:v>6.25031286686251e-8</x:v>
      </x:c>
      <x:c r="R39" s="66" t="str">
        <x:v>C:\Users\admin\.codex\.chatgpt-projects\g-p-6910508be2a081919b9cb5881a96c92b\overnight_refinement_2026-08-27\reports\038_7k_Mp1p25_Ap2_Op0p0001_ise_report.json</x:v>
      </x:c>
    </x:row>
    <x:row r="40">
      <x:c r="A40" s="66" t="str">
        <x:v>039_7k_Mp1p25_Ap4_Op0p00001_ise</x:v>
      </x:c>
      <x:c r="B40" s="66" t="str">
        <x:v>7k</x:v>
      </x:c>
      <x:c r="C40" s="66" t="n">
        <x:v>1.25</x:v>
      </x:c>
      <x:c r="D40" s="66" t="n">
        <x:v>4</x:v>
      </x:c>
      <x:c r="E40" s="66" t="n">
        <x:v>0.00001</x:v>
      </x:c>
      <x:c r="F40" s="66" t="str">
        <x:v>isentropic</x:v>
      </x:c>
      <x:c r="G40" s="66" t="str">
        <x:v>FQRUP</x:v>
      </x:c>
      <x:c r="H40" s="66" t="str">
        <x:v>OK</x:v>
      </x:c>
      <x:c r="I40" s="66" t="n">
        <x:v>1</x:v>
      </x:c>
      <x:c r="J40" s="66" t="n">
        <x:v>0</x:v>
      </x:c>
      <x:c r="K40" s="66" t="n">
        <x:v>8.921</x:v>
      </x:c>
      <x:c r="L40" s="66" t="n">
        <x:v>0.049556298323847</x:v>
      </x:c>
      <x:c r="M40" s="66" t="n">
        <x:v>0.000605165195539283</x:v>
      </x:c>
      <x:c r="N40" s="66" t="n">
        <x:v>0.0178279244363723</x:v>
      </x:c>
      <x:c r="O40" s="66" t="n">
        <x:v>0.050679194814679</x:v>
      </x:c>
      <x:c r="P40" s="66" t="n">
        <x:v>0.0143276238855902</x:v>
      </x:c>
      <x:c r="Q40" s="66" t="n">
        <x:v>6.57333101510161e-9</x:v>
      </x:c>
      <x:c r="R40" s="66" t="str">
        <x:v>C:\Users\admin\.codex\.chatgpt-projects\g-p-6910508be2a081919b9cb5881a96c92b\overnight_refinement_2026-08-27\reports\039_7k_Mp1p25_Ap4_Op0p00001_ise_report.json</x:v>
      </x:c>
    </x:row>
    <x:row r="41">
      <x:c r="A41" s="66" t="str">
        <x:v>040_7k_Mp1p25_Ap4_Op0p0001_ise</x:v>
      </x:c>
      <x:c r="B41" s="66" t="str">
        <x:v>7k</x:v>
      </x:c>
      <x:c r="C41" s="66" t="n">
        <x:v>1.25</x:v>
      </x:c>
      <x:c r="D41" s="66" t="n">
        <x:v>4</x:v>
      </x:c>
      <x:c r="E41" s="66" t="n">
        <x:v>0.0001</x:v>
      </x:c>
      <x:c r="F41" s="66" t="str">
        <x:v>isentropic</x:v>
      </x:c>
      <x:c r="G41" s="66" t="str">
        <x:v>FQRUP</x:v>
      </x:c>
      <x:c r="H41" s="66" t="str">
        <x:v>OK</x:v>
      </x:c>
      <x:c r="I41" s="66" t="n">
        <x:v>1</x:v>
      </x:c>
      <x:c r="J41" s="66" t="n">
        <x:v>0</x:v>
      </x:c>
      <x:c r="K41" s="66" t="n">
        <x:v>8.984</x:v>
      </x:c>
      <x:c r="L41" s="66" t="n">
        <x:v>0.0495531541852027</x:v>
      </x:c>
      <x:c r="M41" s="66" t="n">
        <x:v>0.000614635905612996</x:v>
      </x:c>
      <x:c r="N41" s="66" t="n">
        <x:v>0.0178481453330562</x:v>
      </x:c>
      <x:c r="O41" s="66" t="n">
        <x:v>0.050677468873447</x:v>
      </x:c>
      <x:c r="P41" s="66" t="n">
        <x:v>0.0143480148492108</x:v>
      </x:c>
      <x:c r="Q41" s="66" t="n">
        <x:v>6.57309879098745e-8</x:v>
      </x:c>
      <x:c r="R41" s="66" t="str">
        <x:v>C:\Users\admin\.codex\.chatgpt-projects\g-p-6910508be2a081919b9cb5881a96c92b\overnight_refinement_2026-08-27\reports\040_7k_Mp1p25_Ap4_Op0p0001_ise_report.json</x:v>
      </x:c>
    </x:row>
    <x:row r="42">
      <x:c r="A42" s="66" t="str">
        <x:v>041_7k_Mp1p3_Am4_Op0p00001_ise</x:v>
      </x:c>
      <x:c r="B42" s="66" t="str">
        <x:v>7k</x:v>
      </x:c>
      <x:c r="C42" s="66" t="n">
        <x:v>1.3</x:v>
      </x:c>
      <x:c r="D42" s="66" t="n">
        <x:v>-4</x:v>
      </x:c>
      <x:c r="E42" s="66" t="n">
        <x:v>0.00001</x:v>
      </x:c>
      <x:c r="F42" s="66" t="str">
        <x:v>isentropic</x:v>
      </x:c>
      <x:c r="G42" s="66" t="str">
        <x:v>FQRUP</x:v>
      </x:c>
      <x:c r="H42" s="66" t="str">
        <x:v>OK</x:v>
      </x:c>
      <x:c r="I42" s="66" t="n">
        <x:v>1</x:v>
      </x:c>
      <x:c r="J42" s="66" t="n">
        <x:v>0</x:v>
      </x:c>
      <x:c r="K42" s="66" t="n">
        <x:v>8.469</x:v>
      </x:c>
      <x:c r="L42" s="66" t="n">
        <x:v>0.0514472967910109</x:v>
      </x:c>
      <x:c r="M42" s="66" t="n">
        <x:v>0.00523130665894713</x:v>
      </x:c>
      <x:c r="N42" s="66" t="n">
        <x:v>0.00673546435475179</x:v>
      </x:c>
      <x:c r="O42" s="66" t="n">
        <x:v>0.0508521315193433</x:v>
      </x:c>
      <x:c r="P42" s="66" t="n">
        <x:v>0.0103078391099152</x:v>
      </x:c>
      <x:c r="Q42" s="66" t="n">
        <x:v>5.81564983679059e-9</x:v>
      </x:c>
      <x:c r="R42" s="66" t="str">
        <x:v>C:\Users\admin\.codex\.chatgpt-projects\g-p-6910508be2a081919b9cb5881a96c92b\overnight_refinement_2026-08-27\reports\041_7k_Mp1p3_Am4_Op0p00001_ise_report.json</x:v>
      </x:c>
    </x:row>
    <x:row r="43">
      <x:c r="A43" s="66" t="str">
        <x:v>042_7k_Mp1p3_Am4_Op0p0001_ise</x:v>
      </x:c>
      <x:c r="B43" s="66" t="str">
        <x:v>7k</x:v>
      </x:c>
      <x:c r="C43" s="66" t="n">
        <x:v>1.3</x:v>
      </x:c>
      <x:c r="D43" s="66" t="n">
        <x:v>-4</x:v>
      </x:c>
      <x:c r="E43" s="66" t="n">
        <x:v>0.0001</x:v>
      </x:c>
      <x:c r="F43" s="66" t="str">
        <x:v>isentropic</x:v>
      </x:c>
      <x:c r="G43" s="66" t="str">
        <x:v>FQRUP</x:v>
      </x:c>
      <x:c r="H43" s="66" t="str">
        <x:v>OK</x:v>
      </x:c>
      <x:c r="I43" s="66" t="n">
        <x:v>1</x:v>
      </x:c>
      <x:c r="J43" s="66" t="n">
        <x:v>0</x:v>
      </x:c>
      <x:c r="K43" s="66" t="n">
        <x:v>8.609</x:v>
      </x:c>
      <x:c r="L43" s="66" t="n">
        <x:v>0.0514419196724896</x:v>
      </x:c>
      <x:c r="M43" s="66" t="n">
        <x:v>0.00523871656920108</x:v>
      </x:c>
      <x:c r="N43" s="66" t="n">
        <x:v>0.00672202397222552</x:v>
      </x:c>
      <x:c r="O43" s="66" t="n">
        <x:v>0.0508477050529033</x:v>
      </x:c>
      <x:c r="P43" s="66" t="n">
        <x:v>0.0102940563786583</x:v>
      </x:c>
      <x:c r="Q43" s="66" t="n">
        <x:v>5.82398391171605e-8</x:v>
      </x:c>
      <x:c r="R43" s="66" t="str">
        <x:v>C:\Users\admin\.codex\.chatgpt-projects\g-p-6910508be2a081919b9cb5881a96c92b\overnight_refinement_2026-08-27\reports\042_7k_Mp1p3_Am4_Op0p0001_ise_report.json</x:v>
      </x:c>
    </x:row>
    <x:row r="44">
      <x:c r="A44" s="66" t="str">
        <x:v>043_7k_Mp1p3_Am2_Op0p00001_ise</x:v>
      </x:c>
      <x:c r="B44" s="66" t="str">
        <x:v>7k</x:v>
      </x:c>
      <x:c r="C44" s="66" t="n">
        <x:v>1.3</x:v>
      </x:c>
      <x:c r="D44" s="66" t="n">
        <x:v>-2</x:v>
      </x:c>
      <x:c r="E44" s="66" t="n">
        <x:v>0.00001</x:v>
      </x:c>
      <x:c r="F44" s="66" t="str">
        <x:v>isentropic</x:v>
      </x:c>
      <x:c r="G44" s="66" t="str">
        <x:v>FQRUP</x:v>
      </x:c>
      <x:c r="H44" s="66" t="str">
        <x:v>OK</x:v>
      </x:c>
      <x:c r="I44" s="66" t="n">
        <x:v>1</x:v>
      </x:c>
      <x:c r="J44" s="66" t="n">
        <x:v>0</x:v>
      </x:c>
      <x:c r="K44" s="66" t="n">
        <x:v>8.547</x:v>
      </x:c>
      <x:c r="L44" s="66" t="n">
        <x:v>0.0539715715620291</x:v>
      </x:c>
      <x:c r="M44" s="66" t="n">
        <x:v>0.00164427856863344</x:v>
      </x:c>
      <x:c r="N44" s="66" t="n">
        <x:v>0.0139541827984683</x:v>
      </x:c>
      <x:c r="O44" s="66" t="n">
        <x:v>0.0534516995823353</x:v>
      </x:c>
      <x:c r="P44" s="66" t="n">
        <x:v>0.0158292629710947</x:v>
      </x:c>
      <x:c r="Q44" s="66" t="n">
        <x:v>5.81119133757704e-9</x:v>
      </x:c>
      <x:c r="R44" s="66" t="str">
        <x:v>C:\Users\admin\.codex\.chatgpt-projects\g-p-6910508be2a081919b9cb5881a96c92b\overnight_refinement_2026-08-27\reports\043_7k_Mp1p3_Am2_Op0p00001_ise_report.json</x:v>
      </x:c>
    </x:row>
    <x:row r="45">
      <x:c r="A45" s="66" t="str">
        <x:v>044_7k_Mp1p3_Am2_Op0p0001_ise</x:v>
      </x:c>
      <x:c r="B45" s="66" t="str">
        <x:v>7k</x:v>
      </x:c>
      <x:c r="C45" s="66" t="n">
        <x:v>1.3</x:v>
      </x:c>
      <x:c r="D45" s="66" t="n">
        <x:v>-2</x:v>
      </x:c>
      <x:c r="E45" s="66" t="n">
        <x:v>0.0001</x:v>
      </x:c>
      <x:c r="F45" s="66" t="str">
        <x:v>isentropic</x:v>
      </x:c>
      <x:c r="G45" s="66" t="str">
        <x:v>FQRUP</x:v>
      </x:c>
      <x:c r="H45" s="66" t="str">
        <x:v>OK</x:v>
      </x:c>
      <x:c r="I45" s="66" t="n">
        <x:v>1</x:v>
      </x:c>
      <x:c r="J45" s="66" t="n">
        <x:v>0</x:v>
      </x:c>
      <x:c r="K45" s="66" t="n">
        <x:v>8.5</x:v>
      </x:c>
      <x:c r="L45" s="66" t="n">
        <x:v>0.0539657534180595</x:v>
      </x:c>
      <x:c r="M45" s="66" t="n">
        <x:v>0.0016473861233845</x:v>
      </x:c>
      <x:c r="N45" s="66" t="n">
        <x:v>0.0139556684395736</x:v>
      </x:c>
      <x:c r="O45" s="66" t="n">
        <x:v>0.053445833134495</x:v>
      </x:c>
      <x:c r="P45" s="66" t="n">
        <x:v>0.0158305446568913</x:v>
      </x:c>
      <x:c r="Q45" s="66" t="n">
        <x:v>5.81967613479447e-8</x:v>
      </x:c>
      <x:c r="R45" s="66" t="str">
        <x:v>C:\Users\admin\.codex\.chatgpt-projects\g-p-6910508be2a081919b9cb5881a96c92b\overnight_refinement_2026-08-27\reports\044_7k_Mp1p3_Am2_Op0p0001_ise_report.json</x:v>
      </x:c>
    </x:row>
    <x:row r="46">
      <x:c r="A46" s="66" t="str">
        <x:v>045_7k_Mp1p3_Ap0_Op0p00001_ise</x:v>
      </x:c>
      <x:c r="B46" s="66" t="str">
        <x:v>7k</x:v>
      </x:c>
      <x:c r="C46" s="66" t="n">
        <x:v>1.3</x:v>
      </x:c>
      <x:c r="D46" s="66" t="n">
        <x:v>0</x:v>
      </x:c>
      <x:c r="E46" s="66" t="n">
        <x:v>0.00001</x:v>
      </x:c>
      <x:c r="F46" s="66" t="str">
        <x:v>isentropic</x:v>
      </x:c>
      <x:c r="G46" s="66" t="str">
        <x:v>FQRUP</x:v>
      </x:c>
      <x:c r="H46" s="66" t="str">
        <x:v>OK</x:v>
      </x:c>
      <x:c r="I46" s="66" t="n">
        <x:v>1</x:v>
      </x:c>
      <x:c r="J46" s="66" t="n">
        <x:v>0</x:v>
      </x:c>
      <x:c r="K46" s="66" t="n">
        <x:v>8.485</x:v>
      </x:c>
      <x:c r="L46" s="66" t="n">
        <x:v>0.0529914750412095</x:v>
      </x:c>
      <x:c r="M46" s="66" t="n">
        <x:v>0.00081094113095725</x:v>
      </x:c>
      <x:c r="N46" s="66" t="n">
        <x:v>0.00238950091101699</x:v>
      </x:c>
      <x:c r="O46" s="66" t="n">
        <x:v>0.0529914750412095</x:v>
      </x:c>
      <x:c r="P46" s="66" t="n">
        <x:v>0.00238950091101699</x:v>
      </x:c>
      <x:c r="Q46" s="66" t="n">
        <x:v>6.06546739962101e-9</x:v>
      </x:c>
      <x:c r="R46" s="66" t="str">
        <x:v>C:\Users\admin\.codex\.chatgpt-projects\g-p-6910508be2a081919b9cb5881a96c92b\overnight_refinement_2026-08-27\reports\045_7k_Mp1p3_Ap0_Op0p00001_ise_report.json</x:v>
      </x:c>
    </x:row>
    <x:row r="47">
      <x:c r="A47" s="66" t="str">
        <x:v>046_7k_Mp1p3_Ap0_Op0p0001_ise</x:v>
      </x:c>
      <x:c r="B47" s="66" t="str">
        <x:v>7k</x:v>
      </x:c>
      <x:c r="C47" s="66" t="n">
        <x:v>1.3</x:v>
      </x:c>
      <x:c r="D47" s="66" t="n">
        <x:v>0</x:v>
      </x:c>
      <x:c r="E47" s="66" t="n">
        <x:v>0.0001</x:v>
      </x:c>
      <x:c r="F47" s="66" t="str">
        <x:v>isentropic</x:v>
      </x:c>
      <x:c r="G47" s="66" t="str">
        <x:v>FQRUP</x:v>
      </x:c>
      <x:c r="H47" s="66" t="str">
        <x:v>OK</x:v>
      </x:c>
      <x:c r="I47" s="66" t="n">
        <x:v>1</x:v>
      </x:c>
      <x:c r="J47" s="66" t="n">
        <x:v>0</x:v>
      </x:c>
      <x:c r="K47" s="66" t="n">
        <x:v>9.204</x:v>
      </x:c>
      <x:c r="L47" s="66" t="n">
        <x:v>0.0529915965204448</x:v>
      </x:c>
      <x:c r="M47" s="66" t="n">
        <x:v>0.000810559323750023</x:v>
      </x:c>
      <x:c r="N47" s="66" t="n">
        <x:v>0.00239768250252008</x:v>
      </x:c>
      <x:c r="O47" s="66" t="n">
        <x:v>0.0529915965204448</x:v>
      </x:c>
      <x:c r="P47" s="66" t="n">
        <x:v>0.00239768250252008</x:v>
      </x:c>
      <x:c r="Q47" s="66" t="n">
        <x:v>6.07216957610043e-8</x:v>
      </x:c>
      <x:c r="R47" s="66" t="str">
        <x:v>C:\Users\admin\.codex\.chatgpt-projects\g-p-6910508be2a081919b9cb5881a96c92b\overnight_refinement_2026-08-27\reports\046_7k_Mp1p3_Ap0_Op0p0001_ise_report.json</x:v>
      </x:c>
    </x:row>
    <x:row r="48">
      <x:c r="A48" s="66" t="str">
        <x:v>047_7k_Mp1p3_Ap2_Op0p00001_ise</x:v>
      </x:c>
      <x:c r="B48" s="66" t="str">
        <x:v>7k</x:v>
      </x:c>
      <x:c r="C48" s="66" t="n">
        <x:v>1.3</x:v>
      </x:c>
      <x:c r="D48" s="66" t="n">
        <x:v>2</x:v>
      </x:c>
      <x:c r="E48" s="66" t="n">
        <x:v>0.00001</x:v>
      </x:c>
      <x:c r="F48" s="66" t="str">
        <x:v>isentropic</x:v>
      </x:c>
      <x:c r="G48" s="66" t="str">
        <x:v>FQRUP</x:v>
      </x:c>
      <x:c r="H48" s="66" t="str">
        <x:v>OK</x:v>
      </x:c>
      <x:c r="I48" s="66" t="n">
        <x:v>1</x:v>
      </x:c>
      <x:c r="J48" s="66" t="n">
        <x:v>0</x:v>
      </x:c>
      <x:c r="K48" s="66" t="n">
        <x:v>8.375</x:v>
      </x:c>
      <x:c r="L48" s="66" t="n">
        <x:v>0.051643758432492</x:v>
      </x:c>
      <x:c r="M48" s="66" t="n">
        <x:v>-0.00037403158927832</x:v>
      </x:c>
      <x:c r="N48" s="66" t="n">
        <x:v>-0.0142840285519247</x:v>
      </x:c>
      <x:c r="O48" s="66" t="n">
        <x:v>0.0511137930428763</x:v>
      </x:c>
      <x:c r="P48" s="66" t="n">
        <x:v>-0.0160776682847919</x:v>
      </x:c>
      <x:c r="Q48" s="66" t="n">
        <x:v>6.3696604355481e-9</x:v>
      </x:c>
      <x:c r="R48" s="66" t="str">
        <x:v>C:\Users\admin\.codex\.chatgpt-projects\g-p-6910508be2a081919b9cb5881a96c92b\overnight_refinement_2026-08-27\reports\047_7k_Mp1p3_Ap2_Op0p00001_ise_report.json</x:v>
      </x:c>
    </x:row>
    <x:row r="49">
      <x:c r="A49" s="66" t="str">
        <x:v>048_7k_Mp1p3_Ap2_Op0p0001_ise</x:v>
      </x:c>
      <x:c r="B49" s="66" t="str">
        <x:v>7k</x:v>
      </x:c>
      <x:c r="C49" s="66" t="n">
        <x:v>1.3</x:v>
      </x:c>
      <x:c r="D49" s="66" t="n">
        <x:v>2</x:v>
      </x:c>
      <x:c r="E49" s="66" t="n">
        <x:v>0.0001</x:v>
      </x:c>
      <x:c r="F49" s="66" t="str">
        <x:v>isentropic</x:v>
      </x:c>
      <x:c r="G49" s="66" t="str">
        <x:v>FQRUP</x:v>
      </x:c>
      <x:c r="H49" s="66" t="str">
        <x:v>OK</x:v>
      </x:c>
      <x:c r="I49" s="66" t="n">
        <x:v>1</x:v>
      </x:c>
      <x:c r="J49" s="66" t="n">
        <x:v>0</x:v>
      </x:c>
      <x:c r="K49" s="66" t="n">
        <x:v>8.438</x:v>
      </x:c>
      <x:c r="L49" s="66" t="n">
        <x:v>0.0516421733239672</x:v>
      </x:c>
      <x:c r="M49" s="66" t="n">
        <x:v>-0.000372773057965467</x:v>
      </x:c>
      <x:c r="N49" s="66" t="n">
        <x:v>-0.0142399529048825</x:v>
      </x:c>
      <x:c r="O49" s="66" t="n">
        <x:v>0.0511137471178554</x:v>
      </x:c>
      <x:c r="P49" s="66" t="n">
        <x:v>-0.0160335641679533</x:v>
      </x:c>
      <x:c r="Q49" s="66" t="n">
        <x:v>6.37455108239828e-8</x:v>
      </x:c>
      <x:c r="R49" s="66" t="str">
        <x:v>C:\Users\admin\.codex\.chatgpt-projects\g-p-6910508be2a081919b9cb5881a96c92b\overnight_refinement_2026-08-27\reports\048_7k_Mp1p3_Ap2_Op0p0001_ise_report.json</x:v>
      </x:c>
    </x:row>
    <x:row r="50">
      <x:c r="A50" s="66" t="str">
        <x:v>049_7k_Mp1p3_Ap4_Op0p00001_ise</x:v>
      </x:c>
      <x:c r="B50" s="66" t="str">
        <x:v>7k</x:v>
      </x:c>
      <x:c r="C50" s="66" t="n">
        <x:v>1.3</x:v>
      </x:c>
      <x:c r="D50" s="66" t="n">
        <x:v>4</x:v>
      </x:c>
      <x:c r="E50" s="66" t="n">
        <x:v>0.00001</x:v>
      </x:c>
      <x:c r="F50" s="66" t="str">
        <x:v>isentropic</x:v>
      </x:c>
      <x:c r="G50" s="66" t="str">
        <x:v>FQRUP</x:v>
      </x:c>
      <x:c r="H50" s="66" t="str">
        <x:v>OK</x:v>
      </x:c>
      <x:c r="I50" s="66" t="n">
        <x:v>1</x:v>
      </x:c>
      <x:c r="J50" s="66" t="n">
        <x:v>0</x:v>
      </x:c>
      <x:c r="K50" s="66" t="n">
        <x:v>8.406</x:v>
      </x:c>
      <x:c r="L50" s="66" t="n">
        <x:v>0.0456480528386307</x:v>
      </x:c>
      <x:c r="M50" s="66" t="n">
        <x:v>-0.00102429289176891</x:v>
      </x:c>
      <x:c r="N50" s="66" t="n">
        <x:v>0.00131609902685883</x:v>
      </x:c>
      <x:c r="O50" s="66" t="n">
        <x:v>0.0456286629033907</x:v>
      </x:c>
      <x:c r="P50" s="66" t="n">
        <x:v>-0.00187135412353208</x:v>
      </x:c>
      <x:c r="Q50" s="66" t="n">
        <x:v>6.75552261391648e-9</x:v>
      </x:c>
      <x:c r="R50" s="66" t="str">
        <x:v>C:\Users\admin\.codex\.chatgpt-projects\g-p-6910508be2a081919b9cb5881a96c92b\overnight_refinement_2026-08-27\reports\049_7k_Mp1p3_Ap4_Op0p00001_ise_report.json</x:v>
      </x:c>
    </x:row>
    <x:row r="51">
      <x:c r="A51" s="66" t="str">
        <x:v>050_7k_Mp1p3_Ap4_Op0p0001_ise</x:v>
      </x:c>
      <x:c r="B51" s="66" t="str">
        <x:v>7k</x:v>
      </x:c>
      <x:c r="C51" s="66" t="n">
        <x:v>1.3</x:v>
      </x:c>
      <x:c r="D51" s="66" t="n">
        <x:v>4</x:v>
      </x:c>
      <x:c r="E51" s="66" t="n">
        <x:v>0.0001</x:v>
      </x:c>
      <x:c r="F51" s="66" t="str">
        <x:v>isentropic</x:v>
      </x:c>
      <x:c r="G51" s="66" t="str">
        <x:v>FQRUP</x:v>
      </x:c>
      <x:c r="H51" s="66" t="str">
        <x:v>OK</x:v>
      </x:c>
      <x:c r="I51" s="66" t="n">
        <x:v>1</x:v>
      </x:c>
      <x:c r="J51" s="66" t="n">
        <x:v>0</x:v>
      </x:c>
      <x:c r="K51" s="66" t="n">
        <x:v>8.344</x:v>
      </x:c>
      <x:c r="L51" s="66" t="n">
        <x:v>0.0456450400500855</x:v>
      </x:c>
      <x:c r="M51" s="66" t="n">
        <x:v>-0.00101651822112993</x:v>
      </x:c>
      <x:c r="N51" s="66" t="n">
        <x:v>0.00134698818070563</x:v>
      </x:c>
      <x:c r="O51" s="66" t="n">
        <x:v>0.0456278121722962</x:v>
      </x:c>
      <x:c r="P51" s="66" t="n">
        <x:v>-0.00184033005260652</x:v>
      </x:c>
      <x:c r="Q51" s="66" t="n">
        <x:v>6.75888931534183e-8</x:v>
      </x:c>
      <x:c r="R51" s="66" t="str">
        <x:v>C:\Users\admin\.codex\.chatgpt-projects\g-p-6910508be2a081919b9cb5881a96c92b\overnight_refinement_2026-08-27\reports\050_7k_Mp1p3_Ap4_Op0p0001_ise_report.json</x:v>
      </x:c>
    </x:row>
    <x:row r="52">
      <x:c r="A52" s="66" t="str">
        <x:v>051_7k_Mp1p35_Am4_Op0p00001_ise</x:v>
      </x:c>
      <x:c r="B52" s="66" t="str">
        <x:v>7k</x:v>
      </x:c>
      <x:c r="C52" s="66" t="n">
        <x:v>1.35</x:v>
      </x:c>
      <x:c r="D52" s="66" t="n">
        <x:v>-4</x:v>
      </x:c>
      <x:c r="E52" s="66" t="n">
        <x:v>0.00001</x:v>
      </x:c>
      <x:c r="F52" s="66" t="str">
        <x:v>isentropic</x:v>
      </x:c>
      <x:c r="G52" s="66" t="str">
        <x:v>FQRUP</x:v>
      </x:c>
      <x:c r="H52" s="66" t="str">
        <x:v>OK</x:v>
      </x:c>
      <x:c r="I52" s="66" t="n">
        <x:v>1</x:v>
      </x:c>
      <x:c r="J52" s="66" t="n">
        <x:v>0</x:v>
      </x:c>
      <x:c r="K52" s="66" t="n">
        <x:v>8.078</x:v>
      </x:c>
      <x:c r="L52" s="66" t="n">
        <x:v>0.0468329234584838</x:v>
      </x:c>
      <x:c r="M52" s="66" t="n">
        <x:v>0.000660188626666762</x:v>
      </x:c>
      <x:c r="N52" s="66" t="n">
        <x:v>0.043697928190411</x:v>
      </x:c>
      <x:c r="O52" s="66" t="n">
        <x:v>0.0436706274302664</x:v>
      </x:c>
      <x:c r="P52" s="66" t="n">
        <x:v>0.0468583818291817</x:v>
      </x:c>
      <x:c r="Q52" s="66" t="n">
        <x:v>5.71099754825745e-9</x:v>
      </x:c>
      <x:c r="R52" s="66" t="str">
        <x:v>C:\Users\admin\.codex\.chatgpt-projects\g-p-6910508be2a081919b9cb5881a96c92b\overnight_refinement_2026-08-27\reports\051_7k_Mp1p35_Am4_Op0p00001_ise_report.json</x:v>
      </x:c>
    </x:row>
    <x:row r="53">
      <x:c r="A53" s="66" t="str">
        <x:v>052_7k_Mp1p35_Am4_Op0p0001_ise</x:v>
      </x:c>
      <x:c r="B53" s="66" t="str">
        <x:v>7k</x:v>
      </x:c>
      <x:c r="C53" s="66" t="n">
        <x:v>1.35</x:v>
      </x:c>
      <x:c r="D53" s="66" t="n">
        <x:v>-4</x:v>
      </x:c>
      <x:c r="E53" s="66" t="n">
        <x:v>0.0001</x:v>
      </x:c>
      <x:c r="F53" s="66" t="str">
        <x:v>isentropic</x:v>
      </x:c>
      <x:c r="G53" s="66" t="str">
        <x:v>FQRUP</x:v>
      </x:c>
      <x:c r="H53" s="66" t="str">
        <x:v>OK</x:v>
      </x:c>
      <x:c r="I53" s="66" t="n">
        <x:v>1</x:v>
      </x:c>
      <x:c r="J53" s="66" t="n">
        <x:v>0</x:v>
      </x:c>
      <x:c r="K53" s="66" t="n">
        <x:v>7.906</x:v>
      </x:c>
      <x:c r="L53" s="66" t="n">
        <x:v>0.0468418699475491</x:v>
      </x:c>
      <x:c r="M53" s="66" t="n">
        <x:v>0.000667099698243584</x:v>
      </x:c>
      <x:c r="N53" s="66" t="n">
        <x:v>0.0436530914132116</x:v>
      </x:c>
      <x:c r="O53" s="66" t="n">
        <x:v>0.0436826797816054</x:v>
      </x:c>
      <x:c r="P53" s="66" t="n">
        <x:v>0.0468142783476477</x:v>
      </x:c>
      <x:c r="Q53" s="66" t="n">
        <x:v>5.72195225499689e-8</x:v>
      </x:c>
      <x:c r="R53" s="66" t="str">
        <x:v>C:\Users\admin\.codex\.chatgpt-projects\g-p-6910508be2a081919b9cb5881a96c92b\overnight_refinement_2026-08-27\reports\052_7k_Mp1p35_Am4_Op0p0001_ise_report.json</x:v>
      </x:c>
    </x:row>
    <x:row r="54">
      <x:c r="A54" s="66" t="str">
        <x:v>053_7k_Mp1p35_Am2_Op0p00001_ise</x:v>
      </x:c>
      <x:c r="B54" s="66" t="str">
        <x:v>7k</x:v>
      </x:c>
      <x:c r="C54" s="66" t="n">
        <x:v>1.35</x:v>
      </x:c>
      <x:c r="D54" s="66" t="n">
        <x:v>-2</x:v>
      </x:c>
      <x:c r="E54" s="66" t="n">
        <x:v>0.00001</x:v>
      </x:c>
      <x:c r="F54" s="66" t="str">
        <x:v>isentropic</x:v>
      </x:c>
      <x:c r="G54" s="66" t="str">
        <x:v>FQRUP</x:v>
      </x:c>
      <x:c r="H54" s="66" t="str">
        <x:v>OK</x:v>
      </x:c>
      <x:c r="I54" s="66" t="n">
        <x:v>1</x:v>
      </x:c>
      <x:c r="J54" s="66" t="n">
        <x:v>0</x:v>
      </x:c>
      <x:c r="K54" s="66" t="n">
        <x:v>7.985</x:v>
      </x:c>
      <x:c r="L54" s="66" t="n">
        <x:v>0.0512169184986149</x:v>
      </x:c>
      <x:c r="M54" s="66" t="n">
        <x:v>0.000398796709908821</x:v>
      </x:c>
      <x:c r="N54" s="66" t="n">
        <x:v>0.033804488926859</x:v>
      </x:c>
      <x:c r="O54" s="66" t="n">
        <x:v>0.0500059588858677</x:v>
      </x:c>
      <x:c r="P54" s="66" t="n">
        <x:v>0.0355713408238262</x:v>
      </x:c>
      <x:c r="Q54" s="66" t="n">
        <x:v>5.70117119270373e-9</x:v>
      </x:c>
      <x:c r="R54" s="66" t="str">
        <x:v>C:\Users\admin\.codex\.chatgpt-projects\g-p-6910508be2a081919b9cb5881a96c92b\overnight_refinement_2026-08-27\reports\053_7k_Mp1p35_Am2_Op0p00001_ise_report.json</x:v>
      </x:c>
    </x:row>
    <x:row r="55">
      <x:c r="A55" s="66" t="str">
        <x:v>054_7k_Mp1p35_Am2_Op0p0001_ise</x:v>
      </x:c>
      <x:c r="B55" s="66" t="str">
        <x:v>7k</x:v>
      </x:c>
      <x:c r="C55" s="66" t="n">
        <x:v>1.35</x:v>
      </x:c>
      <x:c r="D55" s="66" t="n">
        <x:v>-2</x:v>
      </x:c>
      <x:c r="E55" s="66" t="n">
        <x:v>0.0001</x:v>
      </x:c>
      <x:c r="F55" s="66" t="str">
        <x:v>isentropic</x:v>
      </x:c>
      <x:c r="G55" s="66" t="str">
        <x:v>FQRUP</x:v>
      </x:c>
      <x:c r="H55" s="66" t="str">
        <x:v>OK</x:v>
      </x:c>
      <x:c r="I55" s="66" t="n">
        <x:v>1</x:v>
      </x:c>
      <x:c r="J55" s="66" t="n">
        <x:v>0</x:v>
      </x:c>
      <x:c r="K55" s="66" t="n">
        <x:v>8</x:v>
      </x:c>
      <x:c r="L55" s="66" t="n">
        <x:v>0.0512326019243375</x:v>
      </x:c>
      <x:c r="M55" s="66" t="n">
        <x:v>0.00040184788907889</x:v>
      </x:c>
      <x:c r="N55" s="66" t="n">
        <x:v>0.0337906541037681</x:v>
      </x:c>
      <x:c r="O55" s="66" t="n">
        <x:v>0.050022115586034</x:v>
      </x:c>
      <x:c r="P55" s="66" t="n">
        <x:v>0.0355580617722</x:v>
      </x:c>
      <x:c r="Q55" s="66" t="n">
        <x:v>5.69537497231161e-8</x:v>
      </x:c>
      <x:c r="R55" s="66" t="str">
        <x:v>C:\Users\admin\.codex\.chatgpt-projects\g-p-6910508be2a081919b9cb5881a96c92b\overnight_refinement_2026-08-27\reports\054_7k_Mp1p35_Am2_Op0p0001_ise_report.json</x:v>
      </x:c>
    </x:row>
    <x:row r="56">
      <x:c r="A56" s="66" t="str">
        <x:v>055_7k_Mp1p35_Ap0_Op0p00001_ise</x:v>
      </x:c>
      <x:c r="B56" s="66" t="str">
        <x:v>7k</x:v>
      </x:c>
      <x:c r="C56" s="66" t="n">
        <x:v>1.35</x:v>
      </x:c>
      <x:c r="D56" s="66" t="n">
        <x:v>0</x:v>
      </x:c>
      <x:c r="E56" s="66" t="n">
        <x:v>0.00001</x:v>
      </x:c>
      <x:c r="F56" s="66" t="str">
        <x:v>isentropic</x:v>
      </x:c>
      <x:c r="G56" s="66" t="str">
        <x:v>FQRUP</x:v>
      </x:c>
      <x:c r="H56" s="66" t="str">
        <x:v>OK</x:v>
      </x:c>
      <x:c r="I56" s="66" t="n">
        <x:v>1</x:v>
      </x:c>
      <x:c r="J56" s="66" t="n">
        <x:v>0</x:v>
      </x:c>
      <x:c r="K56" s="66" t="n">
        <x:v>7.781</x:v>
      </x:c>
      <x:c r="L56" s="66" t="n">
        <x:v>0.0503109120397902</x:v>
      </x:c>
      <x:c r="M56" s="66" t="n">
        <x:v>0.00174611011915269</x:v>
      </x:c>
      <x:c r="N56" s="66" t="n">
        <x:v>0.0042168744384894</x:v>
      </x:c>
      <x:c r="O56" s="66" t="n">
        <x:v>0.0503109120397902</x:v>
      </x:c>
      <x:c r="P56" s="66" t="n">
        <x:v>0.0042168744384894</x:v>
      </x:c>
      <x:c r="Q56" s="66" t="n">
        <x:v>6.01577964825905e-9</x:v>
      </x:c>
      <x:c r="R56" s="66" t="str">
        <x:v>C:\Users\admin\.codex\.chatgpt-projects\g-p-6910508be2a081919b9cb5881a96c92b\overnight_refinement_2026-08-27\reports\055_7k_Mp1p35_Ap0_Op0p00001_ise_report.json</x:v>
      </x:c>
    </x:row>
    <x:row r="57">
      <x:c r="A57" s="66" t="str">
        <x:v>056_7k_Mp1p35_Ap0_Op0p0001_ise</x:v>
      </x:c>
      <x:c r="B57" s="66" t="str">
        <x:v>7k</x:v>
      </x:c>
      <x:c r="C57" s="66" t="n">
        <x:v>1.35</x:v>
      </x:c>
      <x:c r="D57" s="66" t="n">
        <x:v>0</x:v>
      </x:c>
      <x:c r="E57" s="66" t="n">
        <x:v>0.0001</x:v>
      </x:c>
      <x:c r="F57" s="66" t="str">
        <x:v>isentropic</x:v>
      </x:c>
      <x:c r="G57" s="66" t="str">
        <x:v>FQRUP</x:v>
      </x:c>
      <x:c r="H57" s="66" t="str">
        <x:v>OK</x:v>
      </x:c>
      <x:c r="I57" s="66" t="n">
        <x:v>1</x:v>
      </x:c>
      <x:c r="J57" s="66" t="n">
        <x:v>0</x:v>
      </x:c>
      <x:c r="K57" s="66" t="n">
        <x:v>7.781</x:v>
      </x:c>
      <x:c r="L57" s="66" t="n">
        <x:v>0.0503369935352898</x:v>
      </x:c>
      <x:c r="M57" s="66" t="n">
        <x:v>0.00173511514049145</x:v>
      </x:c>
      <x:c r="N57" s="66" t="n">
        <x:v>0.00430196567470982</x:v>
      </x:c>
      <x:c r="O57" s="66" t="n">
        <x:v>0.0503369935352898</x:v>
      </x:c>
      <x:c r="P57" s="66" t="n">
        <x:v>0.00430196567470982</x:v>
      </x:c>
      <x:c r="Q57" s="66" t="n">
        <x:v>6.02636342616989e-8</x:v>
      </x:c>
      <x:c r="R57" s="66" t="str">
        <x:v>C:\Users\admin\.codex\.chatgpt-projects\g-p-6910508be2a081919b9cb5881a96c92b\overnight_refinement_2026-08-27\reports\056_7k_Mp1p35_Ap0_Op0p0001_ise_report.json</x:v>
      </x:c>
    </x:row>
    <x:row r="58">
      <x:c r="A58" s="66" t="str">
        <x:v>057_7k_Mp1p35_Ap2_Op0p00001_ise</x:v>
      </x:c>
      <x:c r="B58" s="66" t="str">
        <x:v>7k</x:v>
      </x:c>
      <x:c r="C58" s="66" t="n">
        <x:v>1.35</x:v>
      </x:c>
      <x:c r="D58" s="66" t="n">
        <x:v>2</x:v>
      </x:c>
      <x:c r="E58" s="66" t="n">
        <x:v>0.00001</x:v>
      </x:c>
      <x:c r="F58" s="66" t="str">
        <x:v>isentropic</x:v>
      </x:c>
      <x:c r="G58" s="66" t="str">
        <x:v>FQRUP</x:v>
      </x:c>
      <x:c r="H58" s="66" t="str">
        <x:v>OK</x:v>
      </x:c>
      <x:c r="I58" s="66" t="n">
        <x:v>1</x:v>
      </x:c>
      <x:c r="J58" s="66" t="n">
        <x:v>0</x:v>
      </x:c>
      <x:c r="K58" s="66" t="n">
        <x:v>7.844</x:v>
      </x:c>
      <x:c r="L58" s="66" t="n">
        <x:v>0.0452321246352375</x:v>
      </x:c>
      <x:c r="M58" s="66" t="n">
        <x:v>0.0009490287716601</x:v>
      </x:c>
      <x:c r="N58" s="66" t="n">
        <x:v>-0.0265275861542601</x:v>
      </x:c>
      <x:c r="O58" s="66" t="n">
        <x:v>0.0442787710415249</x:v>
      </x:c>
      <x:c r="P58" s="66" t="n">
        <x:v>-0.0280900046500809</x:v>
      </x:c>
      <x:c r="Q58" s="66" t="n">
        <x:v>6.37784152603267e-9</x:v>
      </x:c>
      <x:c r="R58" s="66" t="str">
        <x:v>C:\Users\admin\.codex\.chatgpt-projects\g-p-6910508be2a081919b9cb5881a96c92b\overnight_refinement_2026-08-27\reports\057_7k_Mp1p35_Ap2_Op0p00001_ise_report.json</x:v>
      </x:c>
    </x:row>
    <x:row r="59">
      <x:c r="A59" s="66" t="str">
        <x:v>058_7k_Mp1p35_Ap2_Op0p0001_ise</x:v>
      </x:c>
      <x:c r="B59" s="66" t="str">
        <x:v>7k</x:v>
      </x:c>
      <x:c r="C59" s="66" t="n">
        <x:v>1.35</x:v>
      </x:c>
      <x:c r="D59" s="66" t="n">
        <x:v>2</x:v>
      </x:c>
      <x:c r="E59" s="66" t="n">
        <x:v>0.0001</x:v>
      </x:c>
      <x:c r="F59" s="66" t="str">
        <x:v>isentropic</x:v>
      </x:c>
      <x:c r="G59" s="66" t="str">
        <x:v>FQRUP</x:v>
      </x:c>
      <x:c r="H59" s="66" t="str">
        <x:v>OK</x:v>
      </x:c>
      <x:c r="I59" s="66" t="n">
        <x:v>1</x:v>
      </x:c>
      <x:c r="J59" s="66" t="n">
        <x:v>0</x:v>
      </x:c>
      <x:c r="K59" s="66" t="n">
        <x:v>7.781</x:v>
      </x:c>
      <x:c r="L59" s="66" t="n">
        <x:v>0.0452602548960245</x:v>
      </x:c>
      <x:c r="M59" s="66" t="n">
        <x:v>0.000949563964273832</x:v>
      </x:c>
      <x:c r="N59" s="66" t="n">
        <x:v>-0.0264476785712834</x:v>
      </x:c>
      <x:c r="O59" s="66" t="n">
        <x:v>0.0443096729005457</x:v>
      </x:c>
      <x:c r="P59" s="66" t="n">
        <x:v>-0.0280111274765883</x:v>
      </x:c>
      <x:c r="Q59" s="66" t="n">
        <x:v>6.38644407325297e-8</x:v>
      </x:c>
      <x:c r="R59" s="66" t="str">
        <x:v>C:\Users\admin\.codex\.chatgpt-projects\g-p-6910508be2a081919b9cb5881a96c92b\overnight_refinement_2026-08-27\reports\058_7k_Mp1p35_Ap2_Op0p0001_ise_report.json</x:v>
      </x:c>
    </x:row>
    <x:row r="60">
      <x:c r="A60" s="66" t="str">
        <x:v>059_7k_Mp1p35_Ap4_Op0p00001_ise</x:v>
      </x:c>
      <x:c r="B60" s="66" t="str">
        <x:v>7k</x:v>
      </x:c>
      <x:c r="C60" s="66" t="n">
        <x:v>1.35</x:v>
      </x:c>
      <x:c r="D60" s="66" t="n">
        <x:v>4</x:v>
      </x:c>
      <x:c r="E60" s="66" t="n">
        <x:v>0.00001</x:v>
      </x:c>
      <x:c r="F60" s="66" t="str">
        <x:v>isentropic</x:v>
      </x:c>
      <x:c r="G60" s="66" t="str">
        <x:v>FQRUP</x:v>
      </x:c>
      <x:c r="H60" s="66" t="str">
        <x:v>OK</x:v>
      </x:c>
      <x:c r="I60" s="66" t="n">
        <x:v>1</x:v>
      </x:c>
      <x:c r="J60" s="66" t="n">
        <x:v>0</x:v>
      </x:c>
      <x:c r="K60" s="66" t="n">
        <x:v>7.782</x:v>
      </x:c>
      <x:c r="L60" s="66" t="n">
        <x:v>0.0353791210187861</x:v>
      </x:c>
      <x:c r="M60" s="66" t="n">
        <x:v>0.00275979111890522</x:v>
      </x:c>
      <x:c r="N60" s="66" t="n">
        <x:v>-0.0354677056962207</x:v>
      </x:c>
      <x:c r="O60" s="66" t="n">
        <x:v>0.03281883717697</x:v>
      </x:c>
      <x:c r="P60" s="66" t="n">
        <x:v>-0.0378492308741825</x:v>
      </x:c>
      <x:c r="Q60" s="66" t="n">
        <x:v>6.81642918649435e-9</x:v>
      </x:c>
      <x:c r="R60" s="66" t="str">
        <x:v>C:\Users\admin\.codex\.chatgpt-projects\g-p-6910508be2a081919b9cb5881a96c92b\overnight_refinement_2026-08-27\reports\059_7k_Mp1p35_Ap4_Op0p00001_ise_report.json</x:v>
      </x:c>
    </x:row>
    <x:row r="61">
      <x:c r="A61" s="66" t="str">
        <x:v>060_7k_Mp1p35_Ap4_Op0p0001_ise</x:v>
      </x:c>
      <x:c r="B61" s="66" t="str">
        <x:v>7k</x:v>
      </x:c>
      <x:c r="C61" s="66" t="n">
        <x:v>1.35</x:v>
      </x:c>
      <x:c r="D61" s="66" t="n">
        <x:v>4</x:v>
      </x:c>
      <x:c r="E61" s="66" t="n">
        <x:v>0.0001</x:v>
      </x:c>
      <x:c r="F61" s="66" t="str">
        <x:v>isentropic</x:v>
      </x:c>
      <x:c r="G61" s="66" t="str">
        <x:v>FQRUP</x:v>
      </x:c>
      <x:c r="H61" s="66" t="str">
        <x:v>OK</x:v>
      </x:c>
      <x:c r="I61" s="66" t="n">
        <x:v>1</x:v>
      </x:c>
      <x:c r="J61" s="66" t="n">
        <x:v>0</x:v>
      </x:c>
      <x:c r="K61" s="66" t="n">
        <x:v>7.891</x:v>
      </x:c>
      <x:c r="L61" s="66" t="n">
        <x:v>0.0353903068872394</x:v>
      </x:c>
      <x:c r="M61" s="66" t="n">
        <x:v>0.00276925264511702</x:v>
      </x:c>
      <x:c r="N61" s="66" t="n">
        <x:v>-0.0353999338482941</x:v>
      </x:c>
      <x:c r="O61" s="66" t="n">
        <x:v>0.0328347233223404</x:v>
      </x:c>
      <x:c r="P61" s="66" t="n">
        <x:v>-0.0377824044018104</x:v>
      </x:c>
      <x:c r="Q61" s="66" t="n">
        <x:v>6.82334578983795e-8</x:v>
      </x:c>
      <x:c r="R61" s="66" t="str">
        <x:v>C:\Users\admin\.codex\.chatgpt-projects\g-p-6910508be2a081919b9cb5881a96c92b\overnight_refinement_2026-08-27\reports\060_7k_Mp1p35_Ap4_Op0p0001_ise_report.json</x:v>
      </x:c>
    </x:row>
    <x:row r="62">
      <x:c r="A62" s="66" t="str">
        <x:v>061_7k_Mp1p4_Am4_Op0p00001_ise</x:v>
      </x:c>
      <x:c r="B62" s="66" t="str">
        <x:v>7k</x:v>
      </x:c>
      <x:c r="C62" s="66" t="n">
        <x:v>1.4</x:v>
      </x:c>
      <x:c r="D62" s="66" t="n">
        <x:v>-4</x:v>
      </x:c>
      <x:c r="E62" s="66" t="n">
        <x:v>0.00001</x:v>
      </x:c>
      <x:c r="F62" s="66" t="str">
        <x:v>isentropic</x:v>
      </x:c>
      <x:c r="G62" s="66" t="str">
        <x:v>FQRUP</x:v>
      </x:c>
      <x:c r="H62" s="66" t="str">
        <x:v>OK</x:v>
      </x:c>
      <x:c r="I62" s="66" t="n">
        <x:v>1</x:v>
      </x:c>
      <x:c r="J62" s="66" t="n">
        <x:v>0</x:v>
      </x:c>
      <x:c r="K62" s="66" t="n">
        <x:v>12.688</x:v>
      </x:c>
      <x:c r="L62" s="66" t="n">
        <x:v>0.0411706614471278</x:v>
      </x:c>
      <x:c r="M62" s="66" t="n">
        <x:v>0.00160007410701242</x:v>
      </x:c>
      <x:c r="N62" s="66" t="n">
        <x:v>0.0626039688878991</x:v>
      </x:c>
      <x:c r="O62" s="66" t="n">
        <x:v>0.036703339673066</x:v>
      </x:c>
      <x:c r="P62" s="66" t="n">
        <x:v>0.0653233889304175</x:v>
      </x:c>
      <x:c r="Q62" s="66" t="n">
        <x:v>5.34801982049416e-9</x:v>
      </x:c>
      <x:c r="R62" s="66" t="str">
        <x:v>C:\Users\admin\.codex\.chatgpt-projects\g-p-6910508be2a081919b9cb5881a96c92b\overnight_refinement_2026-08-27\reports\061_7k_Mp1p4_Am4_Op0p00001_ise_report.json</x:v>
      </x:c>
    </x:row>
    <x:row r="63">
      <x:c r="A63" s="66" t="str">
        <x:v>062_7k_Mp1p4_Am4_Op0p0001_ise</x:v>
      </x:c>
      <x:c r="B63" s="66" t="str">
        <x:v>7k</x:v>
      </x:c>
      <x:c r="C63" s="66" t="n">
        <x:v>1.4</x:v>
      </x:c>
      <x:c r="D63" s="66" t="n">
        <x:v>-4</x:v>
      </x:c>
      <x:c r="E63" s="66" t="n">
        <x:v>0.0001</x:v>
      </x:c>
      <x:c r="F63" s="66" t="str">
        <x:v>isentropic</x:v>
      </x:c>
      <x:c r="G63" s="66" t="str">
        <x:v>FQRUP</x:v>
      </x:c>
      <x:c r="H63" s="66" t="str">
        <x:v>OK</x:v>
      </x:c>
      <x:c r="I63" s="66" t="n">
        <x:v>1</x:v>
      </x:c>
      <x:c r="J63" s="66" t="n">
        <x:v>0</x:v>
      </x:c>
      <x:c r="K63" s="66" t="n">
        <x:v>12.484</x:v>
      </x:c>
      <x:c r="L63" s="66" t="n">
        <x:v>0.0411615806444407</x:v>
      </x:c>
      <x:c r="M63" s="66" t="n">
        <x:v>0.00159900087118583</x:v>
      </x:c>
      <x:c r="N63" s="66" t="n">
        <x:v>0.062649838094061</x:v>
      </x:c>
      <x:c r="O63" s="66" t="n">
        <x:v>0.0366910813166826</x:v>
      </x:c>
      <x:c r="P63" s="66" t="n">
        <x:v>0.0653685129567243</x:v>
      </x:c>
      <x:c r="Q63" s="66" t="n">
        <x:v>5.36217342642833e-8</x:v>
      </x:c>
      <x:c r="R63" s="66" t="str">
        <x:v>C:\Users\admin\.codex\.chatgpt-projects\g-p-6910508be2a081919b9cb5881a96c92b\overnight_refinement_2026-08-27\reports\062_7k_Mp1p4_Am4_Op0p0001_ise_report.json</x:v>
      </x:c>
    </x:row>
    <x:row r="64">
      <x:c r="A64" s="66" t="str">
        <x:v>063_7k_Mp1p4_Am2_Op0p00001_ise</x:v>
      </x:c>
      <x:c r="B64" s="66" t="str">
        <x:v>7k</x:v>
      </x:c>
      <x:c r="C64" s="66" t="n">
        <x:v>1.4</x:v>
      </x:c>
      <x:c r="D64" s="66" t="n">
        <x:v>-2</x:v>
      </x:c>
      <x:c r="E64" s="66" t="n">
        <x:v>0.00001</x:v>
      </x:c>
      <x:c r="F64" s="66" t="str">
        <x:v>isentropic</x:v>
      </x:c>
      <x:c r="G64" s="66" t="str">
        <x:v>FQRUP</x:v>
      </x:c>
      <x:c r="H64" s="66" t="str">
        <x:v>OK</x:v>
      </x:c>
      <x:c r="I64" s="66" t="n">
        <x:v>1</x:v>
      </x:c>
      <x:c r="J64" s="66" t="n">
        <x:v>0</x:v>
      </x:c>
      <x:c r="K64" s="66" t="n">
        <x:v>13.204</x:v>
      </x:c>
      <x:c r="L64" s="66" t="n">
        <x:v>0.0468931239983726</x:v>
      </x:c>
      <x:c r="M64" s="66" t="n">
        <x:v>-0.00100302063065516</x:v>
      </x:c>
      <x:c r="N64" s="66" t="n">
        <x:v>0.0342889956037372</x:v>
      </x:c>
      <x:c r="O64" s="66" t="n">
        <x:v>0.0456678892852379</x:v>
      </x:c>
      <x:c r="P64" s="66" t="n">
        <x:v>0.0359046541004242</x:v>
      </x:c>
      <x:c r="Q64" s="66" t="n">
        <x:v>5.44261036785119e-9</x:v>
      </x:c>
      <x:c r="R64" s="66" t="str">
        <x:v>C:\Users\admin\.codex\.chatgpt-projects\g-p-6910508be2a081919b9cb5881a96c92b\overnight_refinement_2026-08-27\reports\063_7k_Mp1p4_Am2_Op0p00001_ise_report.json</x:v>
      </x:c>
    </x:row>
    <x:row r="65">
      <x:c r="A65" s="66" t="str">
        <x:v>064_7k_Mp1p4_Am2_Op0p0001_ise</x:v>
      </x:c>
      <x:c r="B65" s="66" t="str">
        <x:v>7k</x:v>
      </x:c>
      <x:c r="C65" s="66" t="n">
        <x:v>1.4</x:v>
      </x:c>
      <x:c r="D65" s="66" t="n">
        <x:v>-2</x:v>
      </x:c>
      <x:c r="E65" s="66" t="n">
        <x:v>0.0001</x:v>
      </x:c>
      <x:c r="F65" s="66" t="str">
        <x:v>isentropic</x:v>
      </x:c>
      <x:c r="G65" s="66" t="str">
        <x:v>FQRUP</x:v>
      </x:c>
      <x:c r="H65" s="66" t="str">
        <x:v>OK</x:v>
      </x:c>
      <x:c r="I65" s="66" t="n">
        <x:v>1</x:v>
      </x:c>
      <x:c r="J65" s="66" t="n">
        <x:v>0</x:v>
      </x:c>
      <x:c r="K65" s="66" t="n">
        <x:v>13.063</x:v>
      </x:c>
      <x:c r="L65" s="66" t="n">
        <x:v>0.0468822753423262</x:v>
      </x:c>
      <x:c r="M65" s="66" t="n">
        <x:v>-0.00100416922432661</x:v>
      </x:c>
      <x:c r="N65" s="66" t="n">
        <x:v>0.0343131123543265</x:v>
      </x:c>
      <x:c r="O65" s="66" t="n">
        <x:v>0.045656205575442</x:v>
      </x:c>
      <x:c r="P65" s="66" t="n">
        <x:v>0.0359283775471048</x:v>
      </x:c>
      <x:c r="Q65" s="66" t="n">
        <x:v>5.45796696419044e-8</x:v>
      </x:c>
      <x:c r="R65" s="66" t="str">
        <x:v>C:\Users\admin\.codex\.chatgpt-projects\g-p-6910508be2a081919b9cb5881a96c92b\overnight_refinement_2026-08-27\reports\064_7k_Mp1p4_Am2_Op0p0001_ise_report.json</x:v>
      </x:c>
    </x:row>
    <x:row r="66">
      <x:c r="A66" s="66" t="str">
        <x:v>065_7k_Mp1p4_Ap0_Op0p00001_ise</x:v>
      </x:c>
      <x:c r="B66" s="66" t="str">
        <x:v>7k</x:v>
      </x:c>
      <x:c r="C66" s="66" t="n">
        <x:v>1.4</x:v>
      </x:c>
      <x:c r="D66" s="66" t="n">
        <x:v>0</x:v>
      </x:c>
      <x:c r="E66" s="66" t="n">
        <x:v>0.00001</x:v>
      </x:c>
      <x:c r="F66" s="66" t="str">
        <x:v>isentropic</x:v>
      </x:c>
      <x:c r="G66" s="66" t="str">
        <x:v>FQRUP</x:v>
      </x:c>
      <x:c r="H66" s="66" t="str">
        <x:v>OK</x:v>
      </x:c>
      <x:c r="I66" s="66" t="n">
        <x:v>1</x:v>
      </x:c>
      <x:c r="J66" s="66" t="n">
        <x:v>0</x:v>
      </x:c>
      <x:c r="K66" s="66" t="n">
        <x:v>12.5</x:v>
      </x:c>
      <x:c r="L66" s="66" t="n">
        <x:v>0.0470556821183544</x:v>
      </x:c>
      <x:c r="M66" s="66" t="n">
        <x:v>-0.00257882487864936</x:v>
      </x:c>
      <x:c r="N66" s="66" t="n">
        <x:v>-0.00481549523376474</x:v>
      </x:c>
      <x:c r="O66" s="66" t="n">
        <x:v>0.0470556821183544</x:v>
      </x:c>
      <x:c r="P66" s="66" t="n">
        <x:v>-0.00481549523376474</x:v>
      </x:c>
      <x:c r="Q66" s="66" t="n">
        <x:v>5.8218371372592e-9</x:v>
      </x:c>
      <x:c r="R66" s="66" t="str">
        <x:v>C:\Users\admin\.codex\.chatgpt-projects\g-p-6910508be2a081919b9cb5881a96c92b\overnight_refinement_2026-08-27\reports\065_7k_Mp1p4_Ap0_Op0p00001_ise_report.json</x:v>
      </x:c>
    </x:row>
    <x:row r="67">
      <x:c r="A67" s="66" t="str">
        <x:v>066_7k_Mp1p4_Ap0_Op0p0001_ise</x:v>
      </x:c>
      <x:c r="B67" s="66" t="str">
        <x:v>7k</x:v>
      </x:c>
      <x:c r="C67" s="66" t="n">
        <x:v>1.4</x:v>
      </x:c>
      <x:c r="D67" s="66" t="n">
        <x:v>0</x:v>
      </x:c>
      <x:c r="E67" s="66" t="n">
        <x:v>0.0001</x:v>
      </x:c>
      <x:c r="F67" s="66" t="str">
        <x:v>isentropic</x:v>
      </x:c>
      <x:c r="G67" s="66" t="str">
        <x:v>FQRUP</x:v>
      </x:c>
      <x:c r="H67" s="66" t="str">
        <x:v>OK</x:v>
      </x:c>
      <x:c r="I67" s="66" t="n">
        <x:v>1</x:v>
      </x:c>
      <x:c r="J67" s="66" t="n">
        <x:v>0</x:v>
      </x:c>
      <x:c r="K67" s="66" t="n">
        <x:v>12.516</x:v>
      </x:c>
      <x:c r="L67" s="66" t="n">
        <x:v>0.0470430773396276</x:v>
      </x:c>
      <x:c r="M67" s="66" t="n">
        <x:v>-0.00258758857430657</x:v>
      </x:c>
      <x:c r="N67" s="66" t="n">
        <x:v>-0.00479415483461049</x:v>
      </x:c>
      <x:c r="O67" s="66" t="n">
        <x:v>0.0470430773396276</x:v>
      </x:c>
      <x:c r="P67" s="66" t="n">
        <x:v>-0.00479415483461049</x:v>
      </x:c>
      <x:c r="Q67" s="66" t="n">
        <x:v>5.83670046237265e-8</x:v>
      </x:c>
      <x:c r="R67" s="66" t="str">
        <x:v>C:\Users\admin\.codex\.chatgpt-projects\g-p-6910508be2a081919b9cb5881a96c92b\overnight_refinement_2026-08-27\reports\066_7k_Mp1p4_Ap0_Op0p0001_ise_report.json</x:v>
      </x:c>
    </x:row>
    <x:row r="68">
      <x:c r="A68" s="66" t="str">
        <x:v>067_7k_Mp1p4_Ap2_Op0p00001_ise</x:v>
      </x:c>
      <x:c r="B68" s="66" t="str">
        <x:v>7k</x:v>
      </x:c>
      <x:c r="C68" s="66" t="n">
        <x:v>1.4</x:v>
      </x:c>
      <x:c r="D68" s="66" t="n">
        <x:v>2</x:v>
      </x:c>
      <x:c r="E68" s="66" t="n">
        <x:v>0.00001</x:v>
      </x:c>
      <x:c r="F68" s="66" t="str">
        <x:v>isentropic</x:v>
      </x:c>
      <x:c r="G68" s="66" t="str">
        <x:v>FQRUP</x:v>
      </x:c>
      <x:c r="H68" s="66" t="str">
        <x:v>OK</x:v>
      </x:c>
      <x:c r="I68" s="66" t="n">
        <x:v>1</x:v>
      </x:c>
      <x:c r="J68" s="66" t="n">
        <x:v>0</x:v>
      </x:c>
      <x:c r="K68" s="66" t="n">
        <x:v>13.203</x:v>
      </x:c>
      <x:c r="L68" s="66" t="n">
        <x:v>0.0432979071867415</x:v>
      </x:c>
      <x:c r="M68" s="66" t="n">
        <x:v>-0.00279423388039782</x:v>
      </x:c>
      <x:c r="N68" s="66" t="n">
        <x:v>-0.044355572723901</x:v>
      </x:c>
      <x:c r="O68" s="66" t="n">
        <x:v>0.0417235441075383</x:v>
      </x:c>
      <x:c r="P68" s="66" t="n">
        <x:v>-0.0458396276765339</x:v>
      </x:c>
      <x:c r="Q68" s="66" t="n">
        <x:v>6.24255808579379e-9</x:v>
      </x:c>
      <x:c r="R68" s="66" t="str">
        <x:v>C:\Users\admin\.codex\.chatgpt-projects\g-p-6910508be2a081919b9cb5881a96c92b\overnight_refinement_2026-08-27\reports\067_7k_Mp1p4_Ap2_Op0p00001_ise_report.json</x:v>
      </x:c>
    </x:row>
    <x:row r="69">
      <x:c r="A69" s="66" t="str">
        <x:v>068_7k_Mp1p4_Ap2_Op0p0001_ise</x:v>
      </x:c>
      <x:c r="B69" s="66" t="str">
        <x:v>7k</x:v>
      </x:c>
      <x:c r="C69" s="66" t="n">
        <x:v>1.4</x:v>
      </x:c>
      <x:c r="D69" s="66" t="n">
        <x:v>2</x:v>
      </x:c>
      <x:c r="E69" s="66" t="n">
        <x:v>0.0001</x:v>
      </x:c>
      <x:c r="F69" s="66" t="str">
        <x:v>isentropic</x:v>
      </x:c>
      <x:c r="G69" s="66" t="str">
        <x:v>FQRUP</x:v>
      </x:c>
      <x:c r="H69" s="66" t="str">
        <x:v>OK</x:v>
      </x:c>
      <x:c r="I69" s="66" t="n">
        <x:v>1</x:v>
      </x:c>
      <x:c r="J69" s="66" t="n">
        <x:v>0</x:v>
      </x:c>
      <x:c r="K69" s="66" t="n">
        <x:v>12.921</x:v>
      </x:c>
      <x:c r="L69" s="66" t="n">
        <x:v>0.0432872984884738</x:v>
      </x:c>
      <x:c r="M69" s="66" t="n">
        <x:v>-0.00280283747100396</x:v>
      </x:c>
      <x:c r="N69" s="66" t="n">
        <x:v>-0.0443389781867182</x:v>
      </x:c>
      <x:c r="O69" s="66" t="n">
        <x:v>0.0417135210127986</x:v>
      </x:c>
      <x:c r="P69" s="66" t="n">
        <x:v>-0.0458226730100646</x:v>
      </x:c>
      <x:c r="Q69" s="66" t="n">
        <x:v>6.25549739512745e-8</x:v>
      </x:c>
      <x:c r="R69" s="66" t="str">
        <x:v>C:\Users\admin\.codex\.chatgpt-projects\g-p-6910508be2a081919b9cb5881a96c92b\overnight_refinement_2026-08-27\reports\068_7k_Mp1p4_Ap2_Op0p0001_ise_report.json</x:v>
      </x:c>
    </x:row>
    <x:row r="70">
      <x:c r="A70" s="66" t="str">
        <x:v>069_7k_Mp1p4_Ap4_Op0p00001_ise</x:v>
      </x:c>
      <x:c r="B70" s="66" t="str">
        <x:v>7k</x:v>
      </x:c>
      <x:c r="C70" s="66" t="n">
        <x:v>1.4</x:v>
      </x:c>
      <x:c r="D70" s="66" t="n">
        <x:v>4</x:v>
      </x:c>
      <x:c r="E70" s="66" t="n">
        <x:v>0.00001</x:v>
      </x:c>
      <x:c r="F70" s="66" t="str">
        <x:v>isentropic</x:v>
      </x:c>
      <x:c r="G70" s="66" t="str">
        <x:v>FQRUP</x:v>
      </x:c>
      <x:c r="H70" s="66" t="str">
        <x:v>OK</x:v>
      </x:c>
      <x:c r="I70" s="66" t="n">
        <x:v>1</x:v>
      </x:c>
      <x:c r="J70" s="66" t="n">
        <x:v>0</x:v>
      </x:c>
      <x:c r="K70" s="66" t="n">
        <x:v>13.062</x:v>
      </x:c>
      <x:c r="L70" s="66" t="n">
        <x:v>0.0374328521014734</x:v>
      </x:c>
      <x:c r="M70" s="66" t="n">
        <x:v>-0.00455450010136515</x:v>
      </x:c>
      <x:c r="N70" s="66" t="n">
        <x:v>-0.0455276923213361</x:v>
      </x:c>
      <x:c r="O70" s="66" t="n">
        <x:v>0.0341658162810789</x:v>
      </x:c>
      <x:c r="P70" s="66" t="n">
        <x:v>-0.0480279729158393</x:v>
      </x:c>
      <x:c r="Q70" s="66" t="n">
        <x:v>6.75076094321438e-9</x:v>
      </x:c>
      <x:c r="R70" s="66" t="str">
        <x:v>C:\Users\admin\.codex\.chatgpt-projects\g-p-6910508be2a081919b9cb5881a96c92b\overnight_refinement_2026-08-27\reports\069_7k_Mp1p4_Ap4_Op0p00001_ise_report.json</x:v>
      </x:c>
    </x:row>
    <x:row r="71">
      <x:c r="A71" s="66" t="str">
        <x:v>070_7k_Mp1p4_Ap4_Op0p0001_ise</x:v>
      </x:c>
      <x:c r="B71" s="66" t="str">
        <x:v>7k</x:v>
      </x:c>
      <x:c r="C71" s="66" t="n">
        <x:v>1.4</x:v>
      </x:c>
      <x:c r="D71" s="66" t="n">
        <x:v>4</x:v>
      </x:c>
      <x:c r="E71" s="66" t="n">
        <x:v>0.0001</x:v>
      </x:c>
      <x:c r="F71" s="66" t="str">
        <x:v>isentropic</x:v>
      </x:c>
      <x:c r="G71" s="66" t="str">
        <x:v>FQRUP</x:v>
      </x:c>
      <x:c r="H71" s="66" t="str">
        <x:v>OK</x:v>
      </x:c>
      <x:c r="I71" s="66" t="n">
        <x:v>1</x:v>
      </x:c>
      <x:c r="J71" s="66" t="n">
        <x:v>0</x:v>
      </x:c>
      <x:c r="K71" s="66" t="n">
        <x:v>12.938</x:v>
      </x:c>
      <x:c r="L71" s="66" t="n">
        <x:v>0.0374259003752931</x:v>
      </x:c>
      <x:c r="M71" s="66" t="n">
        <x:v>-0.00456361192916637</x:v>
      </x:c>
      <x:c r="N71" s="66" t="n">
        <x:v>-0.0455209874343923</x:v>
      </x:c>
      <x:c r="O71" s="66" t="n">
        <x:v>0.0341593491982242</x:v>
      </x:c>
      <x:c r="P71" s="66" t="n">
        <x:v>-0.0480207994337583</x:v>
      </x:c>
      <x:c r="Q71" s="66" t="n">
        <x:v>6.76203727987862e-8</x:v>
      </x:c>
      <x:c r="R71" s="66" t="str">
        <x:v>C:\Users\admin\.codex\.chatgpt-projects\g-p-6910508be2a081919b9cb5881a96c92b\overnight_refinement_2026-08-27\reports\070_7k_Mp1p4_Ap4_Op0p0001_ise_report.json</x:v>
      </x:c>
    </x:row>
    <x:row r="72">
      <x:c r="A72" s="66" t="str">
        <x:v>071_7k_Mp1p45_Am4_Op0p00001_ise</x:v>
      </x:c>
      <x:c r="B72" s="66" t="str">
        <x:v>7k</x:v>
      </x:c>
      <x:c r="C72" s="66" t="n">
        <x:v>1.45</x:v>
      </x:c>
      <x:c r="D72" s="66" t="n">
        <x:v>-4</x:v>
      </x:c>
      <x:c r="E72" s="66" t="n">
        <x:v>0.00001</x:v>
      </x:c>
      <x:c r="F72" s="66" t="str">
        <x:v>isentropic</x:v>
      </x:c>
      <x:c r="G72" s="66" t="str">
        <x:v>FQRUP</x:v>
      </x:c>
      <x:c r="H72" s="66" t="str">
        <x:v>OK</x:v>
      </x:c>
      <x:c r="I72" s="66" t="n">
        <x:v>1</x:v>
      </x:c>
      <x:c r="J72" s="66" t="n">
        <x:v>0</x:v>
      </x:c>
      <x:c r="K72" s="66" t="n">
        <x:v>11.813</x:v>
      </x:c>
      <x:c r="L72" s="66" t="n">
        <x:v>0.0458626797311717</x:v>
      </x:c>
      <x:c r="M72" s="66" t="n">
        <x:v>-0.0000598904371440454</x:v>
      </x:c>
      <x:c r="N72" s="66" t="n">
        <x:v>0.0348453192746585</x:v>
      </x:c>
      <x:c r="O72" s="66" t="n">
        <x:v>0.0433202739493084</x:v>
      </x:c>
      <x:c r="P72" s="66" t="n">
        <x:v>0.0379596566427278</x:v>
      </x:c>
      <x:c r="Q72" s="66" t="n">
        <x:v>4.93815066435987e-9</x:v>
      </x:c>
      <x:c r="R72" s="66" t="str">
        <x:v>C:\Users\admin\.codex\.chatgpt-projects\g-p-6910508be2a081919b9cb5881a96c92b\overnight_refinement_2026-08-27\reports\071_7k_Mp1p45_Am4_Op0p00001_ise_report.json</x:v>
      </x:c>
    </x:row>
    <x:row r="73">
      <x:c r="A73" s="66" t="str">
        <x:v>072_7k_Mp1p45_Am4_Op0p0001_ise</x:v>
      </x:c>
      <x:c r="B73" s="66" t="str">
        <x:v>7k</x:v>
      </x:c>
      <x:c r="C73" s="66" t="n">
        <x:v>1.45</x:v>
      </x:c>
      <x:c r="D73" s="66" t="n">
        <x:v>-4</x:v>
      </x:c>
      <x:c r="E73" s="66" t="n">
        <x:v>0.0001</x:v>
      </x:c>
      <x:c r="F73" s="66" t="str">
        <x:v>isentropic</x:v>
      </x:c>
      <x:c r="G73" s="66" t="str">
        <x:v>FQRUP</x:v>
      </x:c>
      <x:c r="H73" s="66" t="str">
        <x:v>OK</x:v>
      </x:c>
      <x:c r="I73" s="66" t="n">
        <x:v>1</x:v>
      </x:c>
      <x:c r="J73" s="66" t="n">
        <x:v>0</x:v>
      </x:c>
      <x:c r="K73" s="66" t="n">
        <x:v>11.734</x:v>
      </x:c>
      <x:c r="L73" s="66" t="n">
        <x:v>0.045860608391776</x:v>
      </x:c>
      <x:c r="M73" s="66" t="n">
        <x:v>-0.0000592230309608836</x:v>
      </x:c>
      <x:c r="N73" s="66" t="n">
        <x:v>0.0348523532732394</x:v>
      </x:c>
      <x:c r="O73" s="66" t="n">
        <x:v>0.043317716988654</x:v>
      </x:c>
      <x:c r="P73" s="66" t="n">
        <x:v>0.0379665290175095</x:v>
      </x:c>
      <x:c r="Q73" s="66" t="n">
        <x:v>4.95436839418771e-8</x:v>
      </x:c>
      <x:c r="R73" s="66" t="str">
        <x:v>C:\Users\admin\.codex\.chatgpt-projects\g-p-6910508be2a081919b9cb5881a96c92b\overnight_refinement_2026-08-27\reports\072_7k_Mp1p45_Am4_Op0p0001_ise_report.json</x:v>
      </x:c>
    </x:row>
    <x:row r="74">
      <x:c r="A74" s="66" t="str">
        <x:v>073_7k_Mp1p45_Am2_Op0p00001_ise</x:v>
      </x:c>
      <x:c r="B74" s="66" t="str">
        <x:v>7k</x:v>
      </x:c>
      <x:c r="C74" s="66" t="n">
        <x:v>1.45</x:v>
      </x:c>
      <x:c r="D74" s="66" t="n">
        <x:v>-2</x:v>
      </x:c>
      <x:c r="E74" s="66" t="n">
        <x:v>0.00001</x:v>
      </x:c>
      <x:c r="F74" s="66" t="str">
        <x:v>isentropic</x:v>
      </x:c>
      <x:c r="G74" s="66" t="str">
        <x:v>FQRUP</x:v>
      </x:c>
      <x:c r="H74" s="66" t="str">
        <x:v>OK</x:v>
      </x:c>
      <x:c r="I74" s="66" t="n">
        <x:v>1</x:v>
      </x:c>
      <x:c r="J74" s="66" t="n">
        <x:v>0</x:v>
      </x:c>
      <x:c r="K74" s="66" t="n">
        <x:v>11.656</x:v>
      </x:c>
      <x:c r="L74" s="66" t="n">
        <x:v>0.0498486324035558</x:v>
      </x:c>
      <x:c r="M74" s="66" t="n">
        <x:v>-0.00107269160761013</x:v>
      </x:c>
      <x:c r="N74" s="66" t="n">
        <x:v>0.0197238206886834</x:v>
      </x:c>
      <x:c r="O74" s="66" t="n">
        <x:v>0.0491299145484751</x:v>
      </x:c>
      <x:c r="P74" s="66" t="n">
        <x:v>0.0214514976522317</x:v>
      </x:c>
      <x:c r="Q74" s="66" t="n">
        <x:v>5.08084950532439e-9</x:v>
      </x:c>
      <x:c r="R74" s="66" t="str">
        <x:v>C:\Users\admin\.codex\.chatgpt-projects\g-p-6910508be2a081919b9cb5881a96c92b\overnight_refinement_2026-08-27\reports\073_7k_Mp1p45_Am2_Op0p00001_ise_report.json</x:v>
      </x:c>
    </x:row>
    <x:row r="75">
      <x:c r="A75" s="66" t="str">
        <x:v>074_7k_Mp1p45_Am2_Op0p0001_ise</x:v>
      </x:c>
      <x:c r="B75" s="66" t="str">
        <x:v>7k</x:v>
      </x:c>
      <x:c r="C75" s="66" t="n">
        <x:v>1.45</x:v>
      </x:c>
      <x:c r="D75" s="66" t="n">
        <x:v>-2</x:v>
      </x:c>
      <x:c r="E75" s="66" t="n">
        <x:v>0.0001</x:v>
      </x:c>
      <x:c r="F75" s="66" t="str">
        <x:v>isentropic</x:v>
      </x:c>
      <x:c r="G75" s="66" t="str">
        <x:v>FQRUP</x:v>
      </x:c>
      <x:c r="H75" s="66" t="str">
        <x:v>OK</x:v>
      </x:c>
      <x:c r="I75" s="66" t="n">
        <x:v>1</x:v>
      </x:c>
      <x:c r="J75" s="66" t="n">
        <x:v>0</x:v>
      </x:c>
      <x:c r="K75" s="66" t="n">
        <x:v>11.625</x:v>
      </x:c>
      <x:c r="L75" s="66" t="n">
        <x:v>0.0498469554768796</x:v>
      </x:c>
      <x:c r="M75" s="66" t="n">
        <x:v>-0.00107486643913233</x:v>
      </x:c>
      <x:c r="N75" s="66" t="n">
        <x:v>0.0197345073253541</x:v>
      </x:c>
      <x:c r="O75" s="66" t="n">
        <x:v>0.0491278656850961</x:v>
      </x:c>
      <x:c r="P75" s="66" t="n">
        <x:v>0.0214621192549951</x:v>
      </x:c>
      <x:c r="Q75" s="66" t="n">
        <x:v>5.09952834698588e-8</x:v>
      </x:c>
      <x:c r="R75" s="66" t="str">
        <x:v>C:\Users\admin\.codex\.chatgpt-projects\g-p-6910508be2a081919b9cb5881a96c92b\overnight_refinement_2026-08-27\reports\074_7k_Mp1p45_Am2_Op0p0001_ise_report.json</x:v>
      </x:c>
    </x:row>
    <x:row r="76">
      <x:c r="A76" s="66" t="str">
        <x:v>075_7k_Mp1p45_Ap0_Op0p00001_ise</x:v>
      </x:c>
      <x:c r="B76" s="66" t="str">
        <x:v>7k</x:v>
      </x:c>
      <x:c r="C76" s="66" t="n">
        <x:v>1.45</x:v>
      </x:c>
      <x:c r="D76" s="66" t="n">
        <x:v>0</x:v>
      </x:c>
      <x:c r="E76" s="66" t="n">
        <x:v>0.00001</x:v>
      </x:c>
      <x:c r="F76" s="66" t="str">
        <x:v>isentropic</x:v>
      </x:c>
      <x:c r="G76" s="66" t="str">
        <x:v>FQRUP</x:v>
      </x:c>
      <x:c r="H76" s="66" t="str">
        <x:v>OK</x:v>
      </x:c>
      <x:c r="I76" s="66" t="n">
        <x:v>1</x:v>
      </x:c>
      <x:c r="J76" s="66" t="n">
        <x:v>0</x:v>
      </x:c>
      <x:c r="K76" s="66" t="n">
        <x:v>11.594</x:v>
      </x:c>
      <x:c r="L76" s="66" t="n">
        <x:v>0.0493969371926047</x:v>
      </x:c>
      <x:c r="M76" s="66" t="n">
        <x:v>-0.00116703486289055</x:v>
      </x:c>
      <x:c r="N76" s="66" t="n">
        <x:v>-0.011341017362356</x:v>
      </x:c>
      <x:c r="O76" s="66" t="n">
        <x:v>0.0493969371926047</x:v>
      </x:c>
      <x:c r="P76" s="66" t="n">
        <x:v>-0.011341017362356</x:v>
      </x:c>
      <x:c r="Q76" s="66" t="n">
        <x:v>5.47271606775451e-9</x:v>
      </x:c>
      <x:c r="R76" s="66" t="str">
        <x:v>C:\Users\admin\.codex\.chatgpt-projects\g-p-6910508be2a081919b9cb5881a96c92b\overnight_refinement_2026-08-27\reports\075_7k_Mp1p45_Ap0_Op0p00001_ise_report.json</x:v>
      </x:c>
    </x:row>
    <x:row r="77">
      <x:c r="A77" s="66" t="str">
        <x:v>076_7k_Mp1p45_Ap0_Op0p0001_ise</x:v>
      </x:c>
      <x:c r="B77" s="66" t="str">
        <x:v>7k</x:v>
      </x:c>
      <x:c r="C77" s="66" t="n">
        <x:v>1.45</x:v>
      </x:c>
      <x:c r="D77" s="66" t="n">
        <x:v>0</x:v>
      </x:c>
      <x:c r="E77" s="66" t="n">
        <x:v>0.0001</x:v>
      </x:c>
      <x:c r="F77" s="66" t="str">
        <x:v>isentropic</x:v>
      </x:c>
      <x:c r="G77" s="66" t="str">
        <x:v>FQRUP</x:v>
      </x:c>
      <x:c r="H77" s="66" t="str">
        <x:v>OK</x:v>
      </x:c>
      <x:c r="I77" s="66" t="n">
        <x:v>1</x:v>
      </x:c>
      <x:c r="J77" s="66" t="n">
        <x:v>0</x:v>
      </x:c>
      <x:c r="K77" s="66" t="n">
        <x:v>12.735</x:v>
      </x:c>
      <x:c r="L77" s="66" t="n">
        <x:v>0.0494073155079855</x:v>
      </x:c>
      <x:c r="M77" s="66" t="n">
        <x:v>-0.00116662103863687</x:v>
      </x:c>
      <x:c r="N77" s="66" t="n">
        <x:v>-0.0113584959119491</x:v>
      </x:c>
      <x:c r="O77" s="66" t="n">
        <x:v>0.0494073155079855</x:v>
      </x:c>
      <x:c r="P77" s="66" t="n">
        <x:v>-0.0113584959119491</x:v>
      </x:c>
      <x:c r="Q77" s="66" t="n">
        <x:v>5.49114911229983e-8</x:v>
      </x:c>
      <x:c r="R77" s="66" t="str">
        <x:v>C:\Users\admin\.codex\.chatgpt-projects\g-p-6910508be2a081919b9cb5881a96c92b\overnight_refinement_2026-08-27\reports\076_7k_Mp1p45_Ap0_Op0p0001_ise_report.json</x:v>
      </x:c>
    </x:row>
    <x:row r="78">
      <x:c r="A78" s="66" t="str">
        <x:v>077_7k_Mp1p45_Ap2_Op0p00001_ise</x:v>
      </x:c>
      <x:c r="B78" s="66" t="str">
        <x:v>7k</x:v>
      </x:c>
      <x:c r="C78" s="66" t="n">
        <x:v>1.45</x:v>
      </x:c>
      <x:c r="D78" s="66" t="n">
        <x:v>2</x:v>
      </x:c>
      <x:c r="E78" s="66" t="n">
        <x:v>0.00001</x:v>
      </x:c>
      <x:c r="F78" s="66" t="str">
        <x:v>isentropic</x:v>
      </x:c>
      <x:c r="G78" s="66" t="str">
        <x:v>FQRUP</x:v>
      </x:c>
      <x:c r="H78" s="66" t="str">
        <x:v>OK</x:v>
      </x:c>
      <x:c r="I78" s="66" t="n">
        <x:v>1</x:v>
      </x:c>
      <x:c r="J78" s="66" t="n">
        <x:v>0</x:v>
      </x:c>
      <x:c r="K78" s="66" t="n">
        <x:v>12.187</x:v>
      </x:c>
      <x:c r="L78" s="66" t="n">
        <x:v>0.0437055630892701</x:v>
      </x:c>
      <x:c r="M78" s="66" t="n">
        <x:v>0.000972739836262582</x:v>
      </x:c>
      <x:c r="N78" s="66" t="n">
        <x:v>-0.0368130805134738</x:v>
      </x:c>
      <x:c r="O78" s="66" t="n">
        <x:v>0.042394180859132</x:v>
      </x:c>
      <x:c r="P78" s="66" t="n">
        <x:v>-0.0383159571343961</x:v>
      </x:c>
      <x:c r="Q78" s="66" t="n">
        <x:v>5.98203963693811e-9</x:v>
      </x:c>
      <x:c r="R78" s="66" t="str">
        <x:v>C:\Users\admin\.codex\.chatgpt-projects\g-p-6910508be2a081919b9cb5881a96c92b\overnight_refinement_2026-08-27\reports\077_7k_Mp1p45_Ap2_Op0p00001_ise_report.json</x:v>
      </x:c>
    </x:row>
    <x:row r="79">
      <x:c r="A79" s="66" t="str">
        <x:v>078_7k_Mp1p45_Ap2_Op0p0001_ise</x:v>
      </x:c>
      <x:c r="B79" s="66" t="str">
        <x:v>7k</x:v>
      </x:c>
      <x:c r="C79" s="66" t="n">
        <x:v>1.45</x:v>
      </x:c>
      <x:c r="D79" s="66" t="n">
        <x:v>2</x:v>
      </x:c>
      <x:c r="E79" s="66" t="n">
        <x:v>0.0001</x:v>
      </x:c>
      <x:c r="F79" s="66" t="str">
        <x:v>isentropic</x:v>
      </x:c>
      <x:c r="G79" s="66" t="str">
        <x:v>FQRUP</x:v>
      </x:c>
      <x:c r="H79" s="66" t="str">
        <x:v>OK</x:v>
      </x:c>
      <x:c r="I79" s="66" t="n">
        <x:v>1</x:v>
      </x:c>
      <x:c r="J79" s="66" t="n">
        <x:v>0</x:v>
      </x:c>
      <x:c r="K79" s="66" t="n">
        <x:v>12.203</x:v>
      </x:c>
      <x:c r="L79" s="66" t="n">
        <x:v>0.043706766969958</x:v>
      </x:c>
      <x:c r="M79" s="66" t="n">
        <x:v>0.000967709122310588</x:v>
      </x:c>
      <x:c r="N79" s="66" t="n">
        <x:v>-0.0368289991954411</x:v>
      </x:c>
      <x:c r="O79" s="66" t="n">
        <x:v>0.0423948284524595</x:v>
      </x:c>
      <x:c r="P79" s="66" t="n">
        <x:v>-0.0383319081339625</x:v>
      </x:c>
      <x:c r="Q79" s="66" t="n">
        <x:v>5.99969011094602e-8</x:v>
      </x:c>
      <x:c r="R79" s="66" t="str">
        <x:v>C:\Users\admin\.codex\.chatgpt-projects\g-p-6910508be2a081919b9cb5881a96c92b\overnight_refinement_2026-08-27\reports\078_7k_Mp1p45_Ap2_Op0p0001_ise_report.json</x:v>
      </x:c>
    </x:row>
    <x:row r="80">
      <x:c r="A80" s="66" t="str">
        <x:v>079_7k_Mp1p45_Ap4_Op0p00001_ise</x:v>
      </x:c>
      <x:c r="B80" s="66" t="str">
        <x:v>7k</x:v>
      </x:c>
      <x:c r="C80" s="66" t="n">
        <x:v>1.45</x:v>
      </x:c>
      <x:c r="D80" s="66" t="n">
        <x:v>4</x:v>
      </x:c>
      <x:c r="E80" s="66" t="n">
        <x:v>0.00001</x:v>
      </x:c>
      <x:c r="F80" s="66" t="str">
        <x:v>isentropic</x:v>
      </x:c>
      <x:c r="G80" s="66" t="str">
        <x:v>FQRUP</x:v>
      </x:c>
      <x:c r="H80" s="66" t="str">
        <x:v>OK</x:v>
      </x:c>
      <x:c r="I80" s="66" t="n">
        <x:v>1</x:v>
      </x:c>
      <x:c r="J80" s="66" t="n">
        <x:v>0</x:v>
      </x:c>
      <x:c r="K80" s="66" t="n">
        <x:v>12.328</x:v>
      </x:c>
      <x:c r="L80" s="66" t="n">
        <x:v>0.0377850735402271</x:v>
      </x:c>
      <x:c r="M80" s="66" t="n">
        <x:v>0.00233787602864317</x:v>
      </x:c>
      <x:c r="N80" s="66" t="n">
        <x:v>-0.0226257804462897</x:v>
      </x:c>
      <x:c r="O80" s="66" t="n">
        <x:v>0.0361147363405123</x:v>
      </x:c>
      <x:c r="P80" s="66" t="n">
        <x:v>-0.025206418672619</x:v>
      </x:c>
      <x:c r="Q80" s="66" t="n">
        <x:v>6.57060278563537e-9</x:v>
      </x:c>
      <x:c r="R80" s="66" t="str">
        <x:v>C:\Users\admin\.codex\.chatgpt-projects\g-p-6910508be2a081919b9cb5881a96c92b\overnight_refinement_2026-08-27\reports\079_7k_Mp1p45_Ap4_Op0p00001_ise_report.json</x:v>
      </x:c>
    </x:row>
    <x:row r="81">
      <x:c r="A81" s="66" t="str">
        <x:v>080_7k_Mp1p45_Ap4_Op0p0001_ise</x:v>
      </x:c>
      <x:c r="B81" s="66" t="str">
        <x:v>7k</x:v>
      </x:c>
      <x:c r="C81" s="66" t="n">
        <x:v>1.45</x:v>
      </x:c>
      <x:c r="D81" s="66" t="n">
        <x:v>4</x:v>
      </x:c>
      <x:c r="E81" s="66" t="n">
        <x:v>0.0001</x:v>
      </x:c>
      <x:c r="F81" s="66" t="str">
        <x:v>isentropic</x:v>
      </x:c>
      <x:c r="G81" s="66" t="str">
        <x:v>FQRUP</x:v>
      </x:c>
      <x:c r="H81" s="66" t="str">
        <x:v>OK</x:v>
      </x:c>
      <x:c r="I81" s="66" t="n">
        <x:v>1</x:v>
      </x:c>
      <x:c r="J81" s="66" t="n">
        <x:v>0</x:v>
      </x:c>
      <x:c r="K81" s="66" t="n">
        <x:v>7.375</x:v>
      </x:c>
      <x:c r="L81" s="66" t="n">
        <x:v>0.037781364122318</x:v>
      </x:c>
      <x:c r="M81" s="66" t="n">
        <x:v>0.00233647733868701</x:v>
      </x:c>
      <x:c r="N81" s="66" t="n">
        <x:v>-0.0226369948207267</x:v>
      </x:c>
      <x:c r="O81" s="66" t="n">
        <x:v>0.0361102536833428</x:v>
      </x:c>
      <x:c r="P81" s="66" t="n">
        <x:v>-0.0252173469734905</x:v>
      </x:c>
      <x:c r="Q81" s="66" t="n">
        <x:v>6.58696436405441e-8</x:v>
      </x:c>
      <x:c r="R81" s="66" t="str">
        <x:v>C:\Users\admin\.codex\.chatgpt-projects\g-p-6910508be2a081919b9cb5881a96c92b\overnight_refinement_2026-08-27\reports\080_7k_Mp1p45_Ap4_Op0p0001_ise_report.json</x:v>
      </x:c>
    </x:row>
    <x:row r="82">
      <x:c r="A82" s="66" t="str">
        <x:v>081_7k_Mp1p5_Am2_Op0p00001_ise</x:v>
      </x:c>
      <x:c r="B82" s="66" t="str">
        <x:v>7k</x:v>
      </x:c>
      <x:c r="C82" s="66" t="n">
        <x:v>1.5</x:v>
      </x:c>
      <x:c r="D82" s="66" t="n">
        <x:v>-2</x:v>
      </x:c>
      <x:c r="E82" s="66" t="n">
        <x:v>0.00001</x:v>
      </x:c>
      <x:c r="F82" s="66" t="str">
        <x:v>isentropic</x:v>
      </x:c>
      <x:c r="G82" s="66" t="str">
        <x:v>FQRUP</x:v>
      </x:c>
      <x:c r="H82" s="66" t="str">
        <x:v>OK</x:v>
      </x:c>
      <x:c r="I82" s="66" t="n">
        <x:v>1</x:v>
      </x:c>
      <x:c r="J82" s="66" t="n">
        <x:v>0</x:v>
      </x:c>
      <x:c r="K82" s="66" t="n">
        <x:v>6.968</x:v>
      </x:c>
      <x:c r="L82" s="66" t="n">
        <x:v>0.0532111444281641</x:v>
      </x:c>
      <x:c r="M82" s="66" t="n">
        <x:v>0.00100975095293497</x:v>
      </x:c>
      <x:c r="N82" s="66" t="n">
        <x:v>0.00627600854558274</x:v>
      </x:c>
      <x:c r="O82" s="66" t="n">
        <x:v>0.052959700097154</x:v>
      </x:c>
      <x:c r="P82" s="66" t="n">
        <x:v>0.00812922753025586</x:v>
      </x:c>
      <x:c r="Q82" s="66" t="n">
        <x:v>4.63085475158832e-9</x:v>
      </x:c>
      <x:c r="R82" s="66" t="str">
        <x:v>C:\Users\admin\.codex\.chatgpt-projects\g-p-6910508be2a081919b9cb5881a96c92b\overnight_refinement_2026-08-27\reports\081_7k_Mp1p5_Am2_Op0p00001_ise_report.json</x:v>
      </x:c>
    </x:row>
    <x:row r="83">
      <x:c r="A83" s="66" t="str">
        <x:v>082_7k_Mp1p5_Am2_Op0p0001_ise</x:v>
      </x:c>
      <x:c r="B83" s="66" t="str">
        <x:v>7k</x:v>
      </x:c>
      <x:c r="C83" s="66" t="n">
        <x:v>1.5</x:v>
      </x:c>
      <x:c r="D83" s="66" t="n">
        <x:v>-2</x:v>
      </x:c>
      <x:c r="E83" s="66" t="n">
        <x:v>0.0001</x:v>
      </x:c>
      <x:c r="F83" s="66" t="str">
        <x:v>isentropic</x:v>
      </x:c>
      <x:c r="G83" s="66" t="str">
        <x:v>FQRUP</x:v>
      </x:c>
      <x:c r="H83" s="66" t="str">
        <x:v>OK</x:v>
      </x:c>
      <x:c r="I83" s="66" t="n">
        <x:v>1</x:v>
      </x:c>
      <x:c r="J83" s="66" t="n">
        <x:v>0</x:v>
      </x:c>
      <x:c r="K83" s="66" t="n">
        <x:v>9.14</x:v>
      </x:c>
      <x:c r="L83" s="66" t="n">
        <x:v>0.053206083564468</x:v>
      </x:c>
      <x:c r="M83" s="66" t="n">
        <x:v>0.000994957842046733</x:v>
      </x:c>
      <x:c r="N83" s="66" t="n">
        <x:v>0.00632327427363674</x:v>
      </x:c>
      <x:c r="O83" s="66" t="n">
        <x:v>0.052952992766279</x:v>
      </x:c>
      <x:c r="P83" s="66" t="n">
        <x:v>0.00817628784370954</x:v>
      </x:c>
      <x:c r="Q83" s="66" t="n">
        <x:v>4.65199788043806e-8</x:v>
      </x:c>
      <x:c r="R83" s="66" t="str">
        <x:v>C:\Users\admin\.codex\.chatgpt-projects\g-p-6910508be2a081919b9cb5881a96c92b\overnight_refinement_2026-08-27\reports\082_7k_Mp1p5_Am2_Op0p0001_ise_report.json</x:v>
      </x:c>
    </x:row>
    <x:row r="84">
      <x:c r="A84" s="66" t="str">
        <x:v>083_7k_Mp1p5_Ap0_Op0p00001_ise</x:v>
      </x:c>
      <x:c r="B84" s="66" t="str">
        <x:v>7k</x:v>
      </x:c>
      <x:c r="C84" s="66" t="n">
        <x:v>1.5</x:v>
      </x:c>
      <x:c r="D84" s="66" t="n">
        <x:v>0</x:v>
      </x:c>
      <x:c r="E84" s="66" t="n">
        <x:v>0.00001</x:v>
      </x:c>
      <x:c r="F84" s="66" t="str">
        <x:v>isentropic</x:v>
      </x:c>
      <x:c r="G84" s="66" t="str">
        <x:v>FQRUP</x:v>
      </x:c>
      <x:c r="H84" s="66" t="str">
        <x:v>OK</x:v>
      </x:c>
      <x:c r="I84" s="66" t="n">
        <x:v>1</x:v>
      </x:c>
      <x:c r="J84" s="66" t="n">
        <x:v>0</x:v>
      </x:c>
      <x:c r="K84" s="66" t="n">
        <x:v>6.766</x:v>
      </x:c>
      <x:c r="L84" s="66" t="n">
        <x:v>0.0524530598068173</x:v>
      </x:c>
      <x:c r="M84" s="66" t="n">
        <x:v>-0.00162785808655491</x:v>
      </x:c>
      <x:c r="N84" s="66" t="n">
        <x:v>-0.0133283332766059</x:v>
      </x:c>
      <x:c r="O84" s="66" t="n">
        <x:v>0.0524530598068173</x:v>
      </x:c>
      <x:c r="P84" s="66" t="n">
        <x:v>-0.0133283332766059</x:v>
      </x:c>
      <x:c r="Q84" s="66" t="n">
        <x:v>5.02732818367584e-9</x:v>
      </x:c>
      <x:c r="R84" s="66" t="str">
        <x:v>C:\Users\admin\.codex\.chatgpt-projects\g-p-6910508be2a081919b9cb5881a96c92b\overnight_refinement_2026-08-27\reports\083_7k_Mp1p5_Ap0_Op0p00001_ise_report.json</x:v>
      </x:c>
    </x:row>
    <x:row r="85">
      <x:c r="A85" s="66" t="str">
        <x:v>084_7k_Mp1p5_Ap0_Op0p0001_ise</x:v>
      </x:c>
      <x:c r="B85" s="66" t="str">
        <x:v>7k</x:v>
      </x:c>
      <x:c r="C85" s="66" t="n">
        <x:v>1.5</x:v>
      </x:c>
      <x:c r="D85" s="66" t="n">
        <x:v>0</x:v>
      </x:c>
      <x:c r="E85" s="66" t="n">
        <x:v>0.0001</x:v>
      </x:c>
      <x:c r="F85" s="66" t="str">
        <x:v>isentropic</x:v>
      </x:c>
      <x:c r="G85" s="66" t="str">
        <x:v>FQRUP</x:v>
      </x:c>
      <x:c r="H85" s="66" t="str">
        <x:v>OK</x:v>
      </x:c>
      <x:c r="I85" s="66" t="n">
        <x:v>1</x:v>
      </x:c>
      <x:c r="J85" s="66" t="n">
        <x:v>0</x:v>
      </x:c>
      <x:c r="K85" s="66" t="n">
        <x:v>11.203</x:v>
      </x:c>
      <x:c r="L85" s="66" t="n">
        <x:v>0.0524482554643745</x:v>
      </x:c>
      <x:c r="M85" s="66" t="n">
        <x:v>-0.00163855211553404</x:v>
      </x:c>
      <x:c r="N85" s="66" t="n">
        <x:v>-0.0133286560033932</x:v>
      </x:c>
      <x:c r="O85" s="66" t="n">
        <x:v>0.0524482554643745</x:v>
      </x:c>
      <x:c r="P85" s="66" t="n">
        <x:v>-0.0133286560033932</x:v>
      </x:c>
      <x:c r="Q85" s="66" t="n">
        <x:v>5.04961279917452e-8</x:v>
      </x:c>
      <x:c r="R85" s="66" t="str">
        <x:v>C:\Users\admin\.codex\.chatgpt-projects\g-p-6910508be2a081919b9cb5881a96c92b\overnight_refinement_2026-08-27\reports\084_7k_Mp1p5_Ap0_Op0p0001_ise_report.json</x:v>
      </x:c>
    </x:row>
    <x:row r="86">
      <x:c r="A86" s="66" t="str">
        <x:v>085_7k_Mp1p5_Ap2_Op0p00001_ise</x:v>
      </x:c>
      <x:c r="B86" s="66" t="str">
        <x:v>7k</x:v>
      </x:c>
      <x:c r="C86" s="66" t="n">
        <x:v>1.5</x:v>
      </x:c>
      <x:c r="D86" s="66" t="n">
        <x:v>2</x:v>
      </x:c>
      <x:c r="E86" s="66" t="n">
        <x:v>0.00001</x:v>
      </x:c>
      <x:c r="F86" s="66" t="str">
        <x:v>isentropic</x:v>
      </x:c>
      <x:c r="G86" s="66" t="str">
        <x:v>FQRUP</x:v>
      </x:c>
      <x:c r="H86" s="66" t="str">
        <x:v>OK</x:v>
      </x:c>
      <x:c r="I86" s="66" t="n">
        <x:v>1</x:v>
      </x:c>
      <x:c r="J86" s="66" t="n">
        <x:v>0</x:v>
      </x:c>
      <x:c r="K86" s="66" t="n">
        <x:v>10.859</x:v>
      </x:c>
      <x:c r="L86" s="66" t="n">
        <x:v>0.0463518768668615</x:v>
      </x:c>
      <x:c r="M86" s="66" t="n">
        <x:v>-0.00101054220363111</x:v>
      </x:c>
      <x:c r="N86" s="66" t="n">
        <x:v>-0.0289801677297165</x:v>
      </x:c>
      <x:c r="O86" s="66" t="n">
        <x:v>0.0453122472877388</x:v>
      </x:c>
      <x:c r="P86" s="66" t="n">
        <x:v>-0.0305801709684232</x:v>
      </x:c>
      <x:c r="Q86" s="66" t="n">
        <x:v>5.59188846112653e-9</x:v>
      </x:c>
      <x:c r="R86" s="66" t="str">
        <x:v>C:\Users\admin\.codex\.chatgpt-projects\g-p-6910508be2a081919b9cb5881a96c92b\overnight_refinement_2026-08-27\reports\085_7k_Mp1p5_Ap2_Op0p00001_ise_report.json</x:v>
      </x:c>
    </x:row>
    <x:row r="87">
      <x:c r="A87" s="66" t="str">
        <x:v>086_7k_Mp1p5_Ap2_Op0p0001_ise</x:v>
      </x:c>
      <x:c r="B87" s="66" t="str">
        <x:v>7k</x:v>
      </x:c>
      <x:c r="C87" s="66" t="n">
        <x:v>1.5</x:v>
      </x:c>
      <x:c r="D87" s="66" t="n">
        <x:v>2</x:v>
      </x:c>
      <x:c r="E87" s="66" t="n">
        <x:v>0.0001</x:v>
      </x:c>
      <x:c r="F87" s="66" t="str">
        <x:v>isentropic</x:v>
      </x:c>
      <x:c r="G87" s="66" t="str">
        <x:v>FQRUP</x:v>
      </x:c>
      <x:c r="H87" s="66" t="str">
        <x:v>OK</x:v>
      </x:c>
      <x:c r="I87" s="66" t="n">
        <x:v>1</x:v>
      </x:c>
      <x:c r="J87" s="66" t="n">
        <x:v>0</x:v>
      </x:c>
      <x:c r="K87" s="66" t="n">
        <x:v>10.89</x:v>
      </x:c>
      <x:c r="L87" s="66" t="n">
        <x:v>0.0463458188839007</x:v>
      </x:c>
      <x:c r="M87" s="66" t="n">
        <x:v>-0.0010142606913758</x:v>
      </x:c>
      <x:c r="N87" s="66" t="n">
        <x:v>-0.0289798104805262</x:v>
      </x:c>
      <x:c r="O87" s="66" t="n">
        <x:v>0.0453062054629545</x:v>
      </x:c>
      <x:c r="P87" s="66" t="n">
        <x:v>-0.0305796025163031</x:v>
      </x:c>
      <x:c r="Q87" s="66" t="n">
        <x:v>5.61417407149836e-8</x:v>
      </x:c>
      <x:c r="R87" s="66" t="str">
        <x:v>C:\Users\admin\.codex\.chatgpt-projects\g-p-6910508be2a081919b9cb5881a96c92b\overnight_refinement_2026-08-27\reports\086_7k_Mp1p5_Ap2_Op0p0001_ise_report.json</x:v>
      </x:c>
    </x:row>
    <x:row r="88">
      <x:c r="A88" s="66" t="str">
        <x:v>087_7k_Mp1p5_Ap4_Op0p00001_ise</x:v>
      </x:c>
      <x:c r="B88" s="66" t="str">
        <x:v>7k</x:v>
      </x:c>
      <x:c r="C88" s="66" t="n">
        <x:v>1.5</x:v>
      </x:c>
      <x:c r="D88" s="66" t="n">
        <x:v>4</x:v>
      </x:c>
      <x:c r="E88" s="66" t="n">
        <x:v>0.00001</x:v>
      </x:c>
      <x:c r="F88" s="66" t="str">
        <x:v>isentropic</x:v>
      </x:c>
      <x:c r="G88" s="66" t="str">
        <x:v>FQRUP</x:v>
      </x:c>
      <x:c r="H88" s="66" t="str">
        <x:v>OK</x:v>
      </x:c>
      <x:c r="I88" s="66" t="n">
        <x:v>1</x:v>
      </x:c>
      <x:c r="J88" s="66" t="n">
        <x:v>0</x:v>
      </x:c>
      <x:c r="K88" s="66" t="n">
        <x:v>11.797</x:v>
      </x:c>
      <x:c r="L88" s="66" t="n">
        <x:v>0.0376704987583582</x:v>
      </x:c>
      <x:c r="M88" s="66" t="n">
        <x:v>-0.00220344412029882</x:v>
      </x:c>
      <x:c r="N88" s="66" t="n">
        <x:v>-0.0269863932524378</x:v>
      </x:c>
      <x:c r="O88" s="66" t="n">
        <x:v>0.0356962596843332</x:v>
      </x:c>
      <x:c r="P88" s="66" t="n">
        <x:v>-0.0295484169123718</x:v>
      </x:c>
      <x:c r="Q88" s="66" t="n">
        <x:v>6.28383810845235e-9</x:v>
      </x:c>
      <x:c r="R88" s="66" t="str">
        <x:v>C:\Users\admin\.codex\.chatgpt-projects\g-p-6910508be2a081919b9cb5881a96c92b\overnight_refinement_2026-08-27\reports\087_7k_Mp1p5_Ap4_Op0p00001_ise_report.json</x:v>
      </x:c>
    </x:row>
    <x:row r="89">
      <x:c r="A89" s="66" t="str">
        <x:v>088_7k_Mp1p5_Ap4_Op0p0001_ise</x:v>
      </x:c>
      <x:c r="B89" s="66" t="str">
        <x:v>7k</x:v>
      </x:c>
      <x:c r="C89" s="66" t="n">
        <x:v>1.5</x:v>
      </x:c>
      <x:c r="D89" s="66" t="n">
        <x:v>4</x:v>
      </x:c>
      <x:c r="E89" s="66" t="n">
        <x:v>0.0001</x:v>
      </x:c>
      <x:c r="F89" s="66" t="str">
        <x:v>isentropic</x:v>
      </x:c>
      <x:c r="G89" s="66" t="str">
        <x:v>FQRUP</x:v>
      </x:c>
      <x:c r="H89" s="66" t="str">
        <x:v>OK</x:v>
      </x:c>
      <x:c r="I89" s="66" t="n">
        <x:v>1</x:v>
      </x:c>
      <x:c r="J89" s="66" t="n">
        <x:v>0</x:v>
      </x:c>
      <x:c r="K89" s="66" t="n">
        <x:v>11.593</x:v>
      </x:c>
      <x:c r="L89" s="66" t="n">
        <x:v>0.0376661751417473</x:v>
      </x:c>
      <x:c r="M89" s="66" t="n">
        <x:v>-0.0022089911643478</x:v>
      </x:c>
      <x:c r="N89" s="66" t="n">
        <x:v>-0.0270046015884167</x:v>
      </x:c>
      <x:c r="O89" s="66" t="n">
        <x:v>0.0356906764505244</x:v>
      </x:c>
      <x:c r="P89" s="66" t="n">
        <x:v>-0.0295662792935108</x:v>
      </x:c>
      <x:c r="Q89" s="66" t="n">
        <x:v>6.30580947266508e-8</x:v>
      </x:c>
      <x:c r="R89" s="66" t="str">
        <x:v>C:\Users\admin\.codex\.chatgpt-projects\g-p-6910508be2a081919b9cb5881a96c92b\overnight_refinement_2026-08-27\reports\088_7k_Mp1p5_Ap4_Op0p0001_ise_report.json</x:v>
      </x:c>
    </x:row>
    <x:row r="90">
      <x:c r="A90" s="66" t="str">
        <x:v>089_7k_Mp1p55_Ap0_Op0p00001_ise</x:v>
      </x:c>
      <x:c r="B90" s="66" t="str">
        <x:v>7k</x:v>
      </x:c>
      <x:c r="C90" s="66" t="n">
        <x:v>1.55</x:v>
      </x:c>
      <x:c r="D90" s="66" t="n">
        <x:v>0</x:v>
      </x:c>
      <x:c r="E90" s="66" t="n">
        <x:v>0.00001</x:v>
      </x:c>
      <x:c r="F90" s="66" t="str">
        <x:v>isentropic</x:v>
      </x:c>
      <x:c r="G90" s="66" t="str">
        <x:v>FQRUP</x:v>
      </x:c>
      <x:c r="H90" s="66" t="str">
        <x:v>OK</x:v>
      </x:c>
      <x:c r="I90" s="66" t="n">
        <x:v>1</x:v>
      </x:c>
      <x:c r="J90" s="66" t="n">
        <x:v>0</x:v>
      </x:c>
      <x:c r="K90" s="66" t="n">
        <x:v>10.625</x:v>
      </x:c>
      <x:c r="L90" s="66" t="n">
        <x:v>0.0509776015437623</x:v>
      </x:c>
      <x:c r="M90" s="66" t="n">
        <x:v>-0.000055661709263107</x:v>
      </x:c>
      <x:c r="N90" s="66" t="n">
        <x:v>-0.0103465130794338</x:v>
      </x:c>
      <x:c r="O90" s="66" t="n">
        <x:v>0.0509776015437623</x:v>
      </x:c>
      <x:c r="P90" s="66" t="n">
        <x:v>-0.0103465130794338</x:v>
      </x:c>
      <x:c r="Q90" s="66" t="n">
        <x:v>4.50419744447371e-9</x:v>
      </x:c>
      <x:c r="R90" s="66" t="str">
        <x:v>C:\Users\admin\.codex\.chatgpt-projects\g-p-6910508be2a081919b9cb5881a96c92b\overnight_refinement_2026-08-27\reports\089_7k_Mp1p55_Ap0_Op0p00001_ise_report.json</x:v>
      </x:c>
    </x:row>
    <x:row r="91">
      <x:c r="A91" s="66" t="str">
        <x:v>090_7k_Mp1p55_Ap0_Op0p0001_ise</x:v>
      </x:c>
      <x:c r="B91" s="66" t="str">
        <x:v>7k</x:v>
      </x:c>
      <x:c r="C91" s="66" t="n">
        <x:v>1.55</x:v>
      </x:c>
      <x:c r="D91" s="66" t="n">
        <x:v>0</x:v>
      </x:c>
      <x:c r="E91" s="66" t="n">
        <x:v>0.0001</x:v>
      </x:c>
      <x:c r="F91" s="66" t="str">
        <x:v>isentropic</x:v>
      </x:c>
      <x:c r="G91" s="66" t="str">
        <x:v>FQRUP</x:v>
      </x:c>
      <x:c r="H91" s="66" t="str">
        <x:v>OK</x:v>
      </x:c>
      <x:c r="I91" s="66" t="n">
        <x:v>1</x:v>
      </x:c>
      <x:c r="J91" s="66" t="n">
        <x:v>0</x:v>
      </x:c>
      <x:c r="K91" s="66" t="n">
        <x:v>10.344</x:v>
      </x:c>
      <x:c r="L91" s="66" t="n">
        <x:v>0.0509796227189243</x:v>
      </x:c>
      <x:c r="M91" s="66" t="n">
        <x:v>-0.0000587118748507473</x:v>
      </x:c>
      <x:c r="N91" s="66" t="n">
        <x:v>-0.0103359545353157</x:v>
      </x:c>
      <x:c r="O91" s="66" t="n">
        <x:v>0.0509796227189243</x:v>
      </x:c>
      <x:c r="P91" s="66" t="n">
        <x:v>-0.0103359545353157</x:v>
      </x:c>
      <x:c r="Q91" s="66" t="n">
        <x:v>4.52955497550329e-8</x:v>
      </x:c>
      <x:c r="R91" s="66" t="str">
        <x:v>C:\Users\admin\.codex\.chatgpt-projects\g-p-6910508be2a081919b9cb5881a96c92b\overnight_refinement_2026-08-27\reports\090_7k_Mp1p55_Ap0_Op0p0001_ise_report.json</x:v>
      </x:c>
    </x:row>
    <x:row r="92">
      <x:c r="A92" s="66" t="str">
        <x:v>091_7k_Mp1p55_Ap2_Op0p00001_ise</x:v>
      </x:c>
      <x:c r="B92" s="66" t="str">
        <x:v>7k</x:v>
      </x:c>
      <x:c r="C92" s="66" t="n">
        <x:v>1.55</x:v>
      </x:c>
      <x:c r="D92" s="66" t="n">
        <x:v>2</x:v>
      </x:c>
      <x:c r="E92" s="66" t="n">
        <x:v>0.00001</x:v>
      </x:c>
      <x:c r="F92" s="66" t="str">
        <x:v>isentropic</x:v>
      </x:c>
      <x:c r="G92" s="66" t="str">
        <x:v>FQRUP</x:v>
      </x:c>
      <x:c r="H92" s="66" t="str">
        <x:v>OK</x:v>
      </x:c>
      <x:c r="I92" s="66" t="n">
        <x:v>1</x:v>
      </x:c>
      <x:c r="J92" s="66" t="n">
        <x:v>0</x:v>
      </x:c>
      <x:c r="K92" s="66" t="n">
        <x:v>10.188</x:v>
      </x:c>
      <x:c r="L92" s="66" t="n">
        <x:v>0.0451176679622809</x:v>
      </x:c>
      <x:c r="M92" s="66" t="n">
        <x:v>0.000631063698243782</x:v>
      </x:c>
      <x:c r="N92" s="66" t="n">
        <x:v>-0.0290848549714644</x:v>
      </x:c>
      <x:c r="O92" s="66" t="n">
        <x:v>0.0440751366978275</x:v>
      </x:c>
      <x:c r="P92" s="66" t="n">
        <x:v>-0.0306417211679364</x:v>
      </x:c>
      <x:c r="Q92" s="66" t="n">
        <x:v>5.09175747297293e-9</x:v>
      </x:c>
      <x:c r="R92" s="66" t="str">
        <x:v>C:\Users\admin\.codex\.chatgpt-projects\g-p-6910508be2a081919b9cb5881a96c92b\overnight_refinement_2026-08-27\reports\091_7k_Mp1p55_Ap2_Op0p00001_ise_report.json</x:v>
      </x:c>
    </x:row>
    <x:row r="93">
      <x:c r="A93" s="66" t="str">
        <x:v>092_7k_Mp1p55_Ap2_Op0p0001_ise</x:v>
      </x:c>
      <x:c r="B93" s="66" t="str">
        <x:v>7k</x:v>
      </x:c>
      <x:c r="C93" s="66" t="n">
        <x:v>1.55</x:v>
      </x:c>
      <x:c r="D93" s="66" t="n">
        <x:v>2</x:v>
      </x:c>
      <x:c r="E93" s="66" t="n">
        <x:v>0.0001</x:v>
      </x:c>
      <x:c r="F93" s="66" t="str">
        <x:v>isentropic</x:v>
      </x:c>
      <x:c r="G93" s="66" t="str">
        <x:v>FQRUP</x:v>
      </x:c>
      <x:c r="H93" s="66" t="str">
        <x:v>OK</x:v>
      </x:c>
      <x:c r="I93" s="66" t="n">
        <x:v>1</x:v>
      </x:c>
      <x:c r="J93" s="66" t="n">
        <x:v>0</x:v>
      </x:c>
      <x:c r="K93" s="66" t="n">
        <x:v>10.219</x:v>
      </x:c>
      <x:c r="L93" s="66" t="n">
        <x:v>0.0451183974676055</x:v>
      </x:c>
      <x:c r="M93" s="66" t="n">
        <x:v>0.000630363605173528</x:v>
      </x:c>
      <x:c r="N93" s="66" t="n">
        <x:v>-0.0290657231715972</x:v>
      </x:c>
      <x:c r="O93" s="66" t="n">
        <x:v>0.0440765334489436</x:v>
      </x:c>
      <x:c r="P93" s="66" t="n">
        <x:v>-0.0306226264820134</x:v>
      </x:c>
      <x:c r="Q93" s="66" t="n">
        <x:v>5.10638519250773e-8</x:v>
      </x:c>
      <x:c r="R93" s="66" t="str">
        <x:v>C:\Users\admin\.codex\.chatgpt-projects\g-p-6910508be2a081919b9cb5881a96c92b\overnight_refinement_2026-08-27\reports\092_7k_Mp1p55_Ap2_Op0p0001_ise_report.json</x:v>
      </x:c>
    </x:row>
    <x:row r="94">
      <x:c r="A94" s="66" t="str">
        <x:v>093_13k_Mp1p1_Am4_Op0p00001_ise</x:v>
      </x:c>
      <x:c r="B94" s="66" t="str">
        <x:v>13k</x:v>
      </x:c>
      <x:c r="C94" s="66" t="n">
        <x:v>1.1</x:v>
      </x:c>
      <x:c r="D94" s="66" t="n">
        <x:v>-4</x:v>
      </x:c>
      <x:c r="E94" s="66" t="n">
        <x:v>0.00001</x:v>
      </x:c>
      <x:c r="F94" s="66" t="str">
        <x:v>isentropic</x:v>
      </x:c>
      <x:c r="G94" s="66" t="str">
        <x:v>FQRUP</x:v>
      </x:c>
      <x:c r="H94" s="66" t="str">
        <x:v>OK</x:v>
      </x:c>
      <x:c r="I94" s="66" t="n">
        <x:v>1</x:v>
      </x:c>
      <x:c r="J94" s="66" t="n">
        <x:v>0</x:v>
      </x:c>
      <x:c r="K94" s="66" t="n">
        <x:v>53.969</x:v>
      </x:c>
      <x:c r="L94" s="66" t="n">
        <x:v>0.042501096273741</x:v>
      </x:c>
      <x:c r="M94" s="66" t="n">
        <x:v>-0.0000564853342255565</x:v>
      </x:c>
      <x:c r="N94" s="66" t="n">
        <x:v>-0.0359694975855921</x:v>
      </x:c>
      <x:c r="O94" s="66" t="n">
        <x:v>0.0449066710532345</x:v>
      </x:c>
      <x:c r="P94" s="66" t="n">
        <x:v>-0.0329171510909785</x:v>
      </x:c>
      <x:c r="Q94" s="66" t="n">
        <x:v>5.14767566100512e-9</x:v>
      </x:c>
      <x:c r="R94" s="66" t="str">
        <x:v>C:\Users\admin\.codex\.chatgpt-projects\g-p-6910508be2a081919b9cb5881a96c92b\overnight_refinement_2026-08-27\reports\093_13k_Mp1p1_Am4_Op0p00001_ise_report.json</x:v>
      </x:c>
    </x:row>
    <x:row r="95">
      <x:c r="A95" s="66" t="str">
        <x:v>094_13k_Mp1p1_Am4_Op0p0001_ise</x:v>
      </x:c>
      <x:c r="B95" s="66" t="str">
        <x:v>13k</x:v>
      </x:c>
      <x:c r="C95" s="66" t="n">
        <x:v>1.1</x:v>
      </x:c>
      <x:c r="D95" s="66" t="n">
        <x:v>-4</x:v>
      </x:c>
      <x:c r="E95" s="66" t="n">
        <x:v>0.0001</x:v>
      </x:c>
      <x:c r="F95" s="66" t="str">
        <x:v>isentropic</x:v>
      </x:c>
      <x:c r="G95" s="66" t="str">
        <x:v>FQRUP</x:v>
      </x:c>
      <x:c r="H95" s="66" t="str">
        <x:v>OK</x:v>
      </x:c>
      <x:c r="I95" s="66" t="n">
        <x:v>1</x:v>
      </x:c>
      <x:c r="J95" s="66" t="n">
        <x:v>0</x:v>
      </x:c>
      <x:c r="K95" s="66" t="n">
        <x:v>49.125</x:v>
      </x:c>
      <x:c r="L95" s="66" t="n">
        <x:v>0.0424932253373118</x:v>
      </x:c>
      <x:c r="M95" s="66" t="n">
        <x:v>-0.0000603631382001754</x:v>
      </x:c>
      <x:c r="N95" s="66" t="n">
        <x:v>-0.0359616996226023</x:v>
      </x:c>
      <x:c r="O95" s="66" t="n">
        <x:v>0.0448982753316103</x:v>
      </x:c>
      <x:c r="P95" s="66" t="n">
        <x:v>-0.032909921172205</x:v>
      </x:c>
      <x:c r="Q95" s="66" t="n">
        <x:v>5.15142324826042e-8</x:v>
      </x:c>
      <x:c r="R95" s="66" t="str">
        <x:v>C:\Users\admin\.codex\.chatgpt-projects\g-p-6910508be2a081919b9cb5881a96c92b\overnight_refinement_2026-08-27\reports\094_13k_Mp1p1_Am4_Op0p0001_ise_report.json</x:v>
      </x:c>
    </x:row>
    <x:row r="96">
      <x:c r="A96" s="66" t="str">
        <x:v>095_13k_Mp1p1_Am2_Op0p00001_ise</x:v>
      </x:c>
      <x:c r="B96" s="66" t="str">
        <x:v>13k</x:v>
      </x:c>
      <x:c r="C96" s="66" t="n">
        <x:v>1.1</x:v>
      </x:c>
      <x:c r="D96" s="66" t="n">
        <x:v>-2</x:v>
      </x:c>
      <x:c r="E96" s="66" t="n">
        <x:v>0.00001</x:v>
      </x:c>
      <x:c r="F96" s="66" t="str">
        <x:v>isentropic</x:v>
      </x:c>
      <x:c r="G96" s="66" t="str">
        <x:v>FQRUP</x:v>
      </x:c>
      <x:c r="H96" s="66" t="str">
        <x:v>OK</x:v>
      </x:c>
      <x:c r="I96" s="66" t="n">
        <x:v>1</x:v>
      </x:c>
      <x:c r="J96" s="66" t="n">
        <x:v>0</x:v>
      </x:c>
      <x:c r="K96" s="66" t="n">
        <x:v>49.562</x:v>
      </x:c>
      <x:c r="L96" s="66" t="n">
        <x:v>0.0478834502578089</x:v>
      </x:c>
      <x:c r="M96" s="66" t="n">
        <x:v>0.0000589539699732432</x:v>
      </x:c>
      <x:c r="N96" s="66" t="n">
        <x:v>-0.00107334208056242</x:v>
      </x:c>
      <x:c r="O96" s="66" t="n">
        <x:v>0.0478917400520806</x:v>
      </x:c>
      <x:c r="P96" s="66" t="n">
        <x:v>0.000598420084809097</x:v>
      </x:c>
      <x:c r="Q96" s="66" t="n">
        <x:v>5.01298101963885e-9</x:v>
      </x:c>
      <x:c r="R96" s="66" t="str">
        <x:v>C:\Users\admin\.codex\.chatgpt-projects\g-p-6910508be2a081919b9cb5881a96c92b\overnight_refinement_2026-08-27\reports\095_13k_Mp1p1_Am2_Op0p00001_ise_report.json</x:v>
      </x:c>
    </x:row>
    <x:row r="97">
      <x:c r="A97" s="66" t="str">
        <x:v>096_13k_Mp1p1_Am2_Op0p0001_ise</x:v>
      </x:c>
      <x:c r="B97" s="66" t="str">
        <x:v>13k</x:v>
      </x:c>
      <x:c r="C97" s="66" t="n">
        <x:v>1.1</x:v>
      </x:c>
      <x:c r="D97" s="66" t="n">
        <x:v>-2</x:v>
      </x:c>
      <x:c r="E97" s="66" t="n">
        <x:v>0.0001</x:v>
      </x:c>
      <x:c r="F97" s="66" t="str">
        <x:v>isentropic</x:v>
      </x:c>
      <x:c r="G97" s="66" t="str">
        <x:v>FQRUP</x:v>
      </x:c>
      <x:c r="H97" s="66" t="str">
        <x:v>OK</x:v>
      </x:c>
      <x:c r="I97" s="66" t="n">
        <x:v>1</x:v>
      </x:c>
      <x:c r="J97" s="66" t="n">
        <x:v>0</x:v>
      </x:c>
      <x:c r="K97" s="66" t="n">
        <x:v>49.187</x:v>
      </x:c>
      <x:c r="L97" s="66" t="n">
        <x:v>0.0478737057180077</x:v>
      </x:c>
      <x:c r="M97" s="66" t="n">
        <x:v>0.0000580188740165128</x:v>
      </x:c>
      <x:c r="N97" s="66" t="n">
        <x:v>-0.00106842747668056</x:v>
      </x:c>
      <x:c r="O97" s="66" t="n">
        <x:v>0.0478818299311878</x:v>
      </x:c>
      <x:c r="P97" s="66" t="n">
        <x:v>0.000602991615312401</x:v>
      </x:c>
      <x:c r="Q97" s="66" t="n">
        <x:v>5.01515803985533e-8</x:v>
      </x:c>
      <x:c r="R97" s="66" t="str">
        <x:v>C:\Users\admin\.codex\.chatgpt-projects\g-p-6910508be2a081919b9cb5881a96c92b\overnight_refinement_2026-08-27\reports\096_13k_Mp1p1_Am2_Op0p0001_ise_report.json</x:v>
      </x:c>
    </x:row>
    <x:row r="98">
      <x:c r="A98" s="66" t="str">
        <x:v>097_13k_Mp1p1_Ap0_Op0p00001_ise</x:v>
      </x:c>
      <x:c r="B98" s="66" t="str">
        <x:v>13k</x:v>
      </x:c>
      <x:c r="C98" s="66" t="n">
        <x:v>1.1</x:v>
      </x:c>
      <x:c r="D98" s="66" t="n">
        <x:v>0</x:v>
      </x:c>
      <x:c r="E98" s="66" t="n">
        <x:v>0.00001</x:v>
      </x:c>
      <x:c r="F98" s="66" t="str">
        <x:v>isentropic</x:v>
      </x:c>
      <x:c r="G98" s="66" t="str">
        <x:v>FQRUP</x:v>
      </x:c>
      <x:c r="H98" s="66" t="str">
        <x:v>OK</x:v>
      </x:c>
      <x:c r="I98" s="66" t="n">
        <x:v>1</x:v>
      </x:c>
      <x:c r="J98" s="66" t="n">
        <x:v>0</x:v>
      </x:c>
      <x:c r="K98" s="66" t="n">
        <x:v>48.985</x:v>
      </x:c>
      <x:c r="L98" s="66" t="n">
        <x:v>0.0507334489696063</x:v>
      </x:c>
      <x:c r="M98" s="66" t="n">
        <x:v>-0.0000595070790250685</x:v>
      </x:c>
      <x:c r="N98" s="66" t="n">
        <x:v>0.00351240937512815</x:v>
      </x:c>
      <x:c r="O98" s="66" t="n">
        <x:v>0.0507334489696063</x:v>
      </x:c>
      <x:c r="P98" s="66" t="n">
        <x:v>0.00351240937512815</x:v>
      </x:c>
      <x:c r="Q98" s="66" t="n">
        <x:v>5.21700086384297e-9</x:v>
      </x:c>
      <x:c r="R98" s="66" t="str">
        <x:v>C:\Users\admin\.codex\.chatgpt-projects\g-p-6910508be2a081919b9cb5881a96c92b\overnight_refinement_2026-08-27\reports\097_13k_Mp1p1_Ap0_Op0p00001_ise_report.json</x:v>
      </x:c>
    </x:row>
    <x:row r="99">
      <x:c r="A99" s="66" t="str">
        <x:v>098_13k_Mp1p1_Ap0_Op0p0001_ise</x:v>
      </x:c>
      <x:c r="B99" s="66" t="str">
        <x:v>13k</x:v>
      </x:c>
      <x:c r="C99" s="66" t="n">
        <x:v>1.1</x:v>
      </x:c>
      <x:c r="D99" s="66" t="n">
        <x:v>0</x:v>
      </x:c>
      <x:c r="E99" s="66" t="n">
        <x:v>0.0001</x:v>
      </x:c>
      <x:c r="F99" s="66" t="str">
        <x:v>isentropic</x:v>
      </x:c>
      <x:c r="G99" s="66" t="str">
        <x:v>FQRUP</x:v>
      </x:c>
      <x:c r="H99" s="66" t="str">
        <x:v>OK</x:v>
      </x:c>
      <x:c r="I99" s="66" t="n">
        <x:v>1</x:v>
      </x:c>
      <x:c r="J99" s="66" t="n">
        <x:v>0</x:v>
      </x:c>
      <x:c r="K99" s="66" t="n">
        <x:v>48.89</x:v>
      </x:c>
      <x:c r="L99" s="66" t="n">
        <x:v>0.0507249202137493</x:v>
      </x:c>
      <x:c r="M99" s="66" t="n">
        <x:v>-0.000059712185896096</x:v>
      </x:c>
      <x:c r="N99" s="66" t="n">
        <x:v>0.00351929593210887</x:v>
      </x:c>
      <x:c r="O99" s="66" t="n">
        <x:v>0.0507249202137493</x:v>
      </x:c>
      <x:c r="P99" s="66" t="n">
        <x:v>0.00351929593210887</x:v>
      </x:c>
      <x:c r="Q99" s="66" t="n">
        <x:v>5.21379976231751e-8</x:v>
      </x:c>
      <x:c r="R99" s="66" t="str">
        <x:v>C:\Users\admin\.codex\.chatgpt-projects\g-p-6910508be2a081919b9cb5881a96c92b\overnight_refinement_2026-08-27\reports\098_13k_Mp1p1_Ap0_Op0p0001_ise_report.json</x:v>
      </x:c>
    </x:row>
    <x:row r="100">
      <x:c r="A100" s="66" t="str">
        <x:v>099_13k_Mp1p1_Ap2_Op0p00001_ise</x:v>
      </x:c>
      <x:c r="B100" s="66" t="str">
        <x:v>13k</x:v>
      </x:c>
      <x:c r="C100" s="66" t="n">
        <x:v>1.1</x:v>
      </x:c>
      <x:c r="D100" s="66" t="n">
        <x:v>2</x:v>
      </x:c>
      <x:c r="E100" s="66" t="n">
        <x:v>0.00001</x:v>
      </x:c>
      <x:c r="F100" s="66" t="str">
        <x:v>isentropic</x:v>
      </x:c>
      <x:c r="G100" s="66" t="str">
        <x:v>FQRUP</x:v>
      </x:c>
      <x:c r="H100" s="66" t="str">
        <x:v>OK</x:v>
      </x:c>
      <x:c r="I100" s="66" t="n">
        <x:v>1</x:v>
      </x:c>
      <x:c r="J100" s="66" t="n">
        <x:v>0</x:v>
      </x:c>
      <x:c r="K100" s="66" t="n">
        <x:v>48.422</x:v>
      </x:c>
      <x:c r="L100" s="66" t="n">
        <x:v>0.0486211431480517</x:v>
      </x:c>
      <x:c r="M100" s="66" t="n">
        <x:v>-0.00160104163606828</x:v>
      </x:c>
      <x:c r="N100" s="66" t="n">
        <x:v>0.00074693148178493</x:v>
      </x:c>
      <x:c r="O100" s="66" t="n">
        <x:v>0.0486175919941308</x:v>
      </x:c>
      <x:c r="P100" s="66" t="n">
        <x:v>-0.000950376953659618</x:v>
      </x:c>
      <x:c r="Q100" s="66" t="n">
        <x:v>5.16534799771393e-9</x:v>
      </x:c>
      <x:c r="R100" s="66" t="str">
        <x:v>C:\Users\admin\.codex\.chatgpt-projects\g-p-6910508be2a081919b9cb5881a96c92b\overnight_refinement_2026-08-27\reports\099_13k_Mp1p1_Ap2_Op0p00001_ise_report.json</x:v>
      </x:c>
    </x:row>
    <x:row r="101">
      <x:c r="A101" s="66" t="str">
        <x:v>100_13k_Mp1p1_Ap2_Op0p0001_ise</x:v>
      </x:c>
      <x:c r="B101" s="66" t="str">
        <x:v>13k</x:v>
      </x:c>
      <x:c r="C101" s="66" t="n">
        <x:v>1.1</x:v>
      </x:c>
      <x:c r="D101" s="66" t="n">
        <x:v>2</x:v>
      </x:c>
      <x:c r="E101" s="66" t="n">
        <x:v>0.0001</x:v>
      </x:c>
      <x:c r="F101" s="66" t="str">
        <x:v>isentropic</x:v>
      </x:c>
      <x:c r="G101" s="66" t="str">
        <x:v>FQRUP</x:v>
      </x:c>
      <x:c r="H101" s="66" t="str">
        <x:v>OK</x:v>
      </x:c>
      <x:c r="I101" s="66" t="n">
        <x:v>1</x:v>
      </x:c>
      <x:c r="J101" s="66" t="n">
        <x:v>0</x:v>
      </x:c>
      <x:c r="K101" s="66" t="n">
        <x:v>48.734</x:v>
      </x:c>
      <x:c r="L101" s="66" t="n">
        <x:v>0.0486131455321104</x:v>
      </x:c>
      <x:c r="M101" s="66" t="n">
        <x:v>-0.00160060184359463</x:v>
      </x:c>
      <x:c r="N101" s="66" t="n">
        <x:v>0.00075978445167721</x:v>
      </x:c>
      <x:c r="O101" s="66" t="n">
        <x:v>0.0486100478123014</x:v>
      </x:c>
      <x:c r="P101" s="66" t="n">
        <x:v>-0.00093725270067815</x:v>
      </x:c>
      <x:c r="Q101" s="66" t="n">
        <x:v>5.29073854720665e-8</x:v>
      </x:c>
      <x:c r="R101" s="66" t="str">
        <x:v>C:\Users\admin\.codex\.chatgpt-projects\g-p-6910508be2a081919b9cb5881a96c92b\overnight_refinement_2026-08-27\reports\100_13k_Mp1p1_Ap2_Op0p0001_ise_report.json</x:v>
      </x:c>
    </x:row>
    <x:row r="102">
      <x:c r="A102" s="66" t="str">
        <x:v>101_13k_Mp1p1_Ap4_Op0p00001_ise</x:v>
      </x:c>
      <x:c r="B102" s="66" t="str">
        <x:v>13k</x:v>
      </x:c>
      <x:c r="C102" s="66" t="n">
        <x:v>1.1</x:v>
      </x:c>
      <x:c r="D102" s="66" t="n">
        <x:v>4</x:v>
      </x:c>
      <x:c r="E102" s="66" t="n">
        <x:v>0.00001</x:v>
      </x:c>
      <x:c r="F102" s="66" t="str">
        <x:v>isentropic</x:v>
      </x:c>
      <x:c r="G102" s="66" t="str">
        <x:v>FQRUP</x:v>
      </x:c>
      <x:c r="H102" s="66" t="str">
        <x:v>OK</x:v>
      </x:c>
      <x:c r="I102" s="66" t="n">
        <x:v>1</x:v>
      </x:c>
      <x:c r="J102" s="66" t="n">
        <x:v>0</x:v>
      </x:c>
      <x:c r="K102" s="66" t="n">
        <x:v>48.61</x:v>
      </x:c>
      <x:c r="L102" s="66" t="n">
        <x:v>0.0420204430151217</x:v>
      </x:c>
      <x:c r="M102" s="66" t="n">
        <x:v>-0.00228235341688358</x:v>
      </x:c>
      <x:c r="N102" s="66" t="n">
        <x:v>0.023763501376483</x:v>
      </x:c>
      <x:c r="O102" s="66" t="n">
        <x:v>0.0435757413877141</x:v>
      </x:c>
      <x:c r="P102" s="66" t="n">
        <x:v>0.0207744167515784</x:v>
      </x:c>
      <x:c r="Q102" s="66" t="n">
        <x:v>5.43464867479721e-9</x:v>
      </x:c>
      <x:c r="R102" s="66" t="str">
        <x:v>C:\Users\admin\.codex\.chatgpt-projects\g-p-6910508be2a081919b9cb5881a96c92b\overnight_refinement_2026-08-27\reports\101_13k_Mp1p1_Ap4_Op0p00001_ise_report.json</x:v>
      </x:c>
    </x:row>
    <x:row r="103">
      <x:c r="A103" s="66" t="str">
        <x:v>102_13k_Mp1p1_Ap4_Op0p0001_ise</x:v>
      </x:c>
      <x:c r="B103" s="66" t="str">
        <x:v>13k</x:v>
      </x:c>
      <x:c r="C103" s="66" t="n">
        <x:v>1.1</x:v>
      </x:c>
      <x:c r="D103" s="66" t="n">
        <x:v>4</x:v>
      </x:c>
      <x:c r="E103" s="66" t="n">
        <x:v>0.0001</x:v>
      </x:c>
      <x:c r="F103" s="66" t="str">
        <x:v>isentropic</x:v>
      </x:c>
      <x:c r="G103" s="66" t="str">
        <x:v>FQRUP</x:v>
      </x:c>
      <x:c r="H103" s="66" t="str">
        <x:v>OK</x:v>
      </x:c>
      <x:c r="I103" s="66" t="n">
        <x:v>1</x:v>
      </x:c>
      <x:c r="J103" s="66" t="n">
        <x:v>0</x:v>
      </x:c>
      <x:c r="K103" s="66" t="n">
        <x:v>48.86</x:v>
      </x:c>
      <x:c r="L103" s="66" t="n">
        <x:v>0.0420123185231059</x:v>
      </x:c>
      <x:c r="M103" s="66" t="n">
        <x:v>-0.00228205475422666</x:v>
      </x:c>
      <x:c r="N103" s="66" t="n">
        <x:v>0.0237701190399175</x:v>
      </x:c>
      <x:c r="O103" s="66" t="n">
        <x:v>0.0435680983114181</x:v>
      </x:c>
      <x:c r="P103" s="66" t="n">
        <x:v>0.0207815850306314</x:v>
      </x:c>
      <x:c r="Q103" s="66" t="n">
        <x:v>5.4243532792753e-8</x:v>
      </x:c>
      <x:c r="R103" s="66" t="str">
        <x:v>C:\Users\admin\.codex\.chatgpt-projects\g-p-6910508be2a081919b9cb5881a96c92b\overnight_refinement_2026-08-27\reports\102_13k_Mp1p1_Ap4_Op0p0001_ise_report.json</x:v>
      </x:c>
    </x:row>
    <x:row r="104">
      <x:c r="A104" s="66" t="str">
        <x:v>103_13k_Mp1p15_Am4_Op0p00001_ise</x:v>
      </x:c>
      <x:c r="B104" s="66" t="str">
        <x:v>13k</x:v>
      </x:c>
      <x:c r="C104" s="66" t="n">
        <x:v>1.15</x:v>
      </x:c>
      <x:c r="D104" s="66" t="n">
        <x:v>-4</x:v>
      </x:c>
      <x:c r="E104" s="66" t="n">
        <x:v>0.00001</x:v>
      </x:c>
      <x:c r="F104" s="66" t="str">
        <x:v>isentropic</x:v>
      </x:c>
      <x:c r="G104" s="66" t="str">
        <x:v>FQRUP</x:v>
      </x:c>
      <x:c r="H104" s="66" t="str">
        <x:v>OK</x:v>
      </x:c>
      <x:c r="I104" s="66" t="n">
        <x:v>1</x:v>
      </x:c>
      <x:c r="J104" s="66" t="n">
        <x:v>0</x:v>
      </x:c>
      <x:c r="K104" s="66" t="n">
        <x:v>96.594</x:v>
      </x:c>
      <x:c r="L104" s="66" t="n">
        <x:v>0.0397223350458909</x:v>
      </x:c>
      <x:c r="M104" s="66" t="n">
        <x:v>0.0000697721142977515</x:v>
      </x:c>
      <x:c r="N104" s="66" t="n">
        <x:v>-0.0267335087172748</x:v>
      </x:c>
      <x:c r="O104" s="66" t="n">
        <x:v>0.0414904087330816</x:v>
      </x:c>
      <x:c r="P104" s="66" t="n">
        <x:v>-0.0238974972119769</x:v>
      </x:c>
      <x:c r="Q104" s="66" t="n">
        <x:v>5.79964775685873e-9</x:v>
      </x:c>
      <x:c r="R104" s="66" t="str">
        <x:v>C:\Users\admin\.codex\.chatgpt-projects\g-p-6910508be2a081919b9cb5881a96c92b\overnight_refinement_2026-08-27\reports\103_13k_Mp1p15_Am4_Op0p00001_ise_report.json</x:v>
      </x:c>
    </x:row>
    <x:row r="105">
      <x:c r="A105" s="66" t="str">
        <x:v>104_13k_Mp1p15_Am4_Op0p0001_ise</x:v>
      </x:c>
      <x:c r="B105" s="66" t="str">
        <x:v>13k</x:v>
      </x:c>
      <x:c r="C105" s="66" t="n">
        <x:v>1.15</x:v>
      </x:c>
      <x:c r="D105" s="66" t="n">
        <x:v>-4</x:v>
      </x:c>
      <x:c r="E105" s="66" t="n">
        <x:v>0.0001</x:v>
      </x:c>
      <x:c r="F105" s="66" t="str">
        <x:v>isentropic</x:v>
      </x:c>
      <x:c r="G105" s="66" t="str">
        <x:v>FQRUP</x:v>
      </x:c>
      <x:c r="H105" s="66" t="str">
        <x:v>OK</x:v>
      </x:c>
      <x:c r="I105" s="66" t="n">
        <x:v>1</x:v>
      </x:c>
      <x:c r="J105" s="66" t="n">
        <x:v>0</x:v>
      </x:c>
      <x:c r="K105" s="66" t="n">
        <x:v>106.218</x:v>
      </x:c>
      <x:c r="L105" s="66" t="n">
        <x:v>0.0397122721025185</x:v>
      </x:c>
      <x:c r="M105" s="66" t="n">
        <x:v>0.0000689833094365024</x:v>
      </x:c>
      <x:c r="N105" s="66" t="n">
        <x:v>-0.0267287171869076</x:v>
      </x:c>
      <x:c r="O105" s="66" t="n">
        <x:v>0.0414800360622712</x:v>
      </x:c>
      <x:c r="P105" s="66" t="n">
        <x:v>-0.023893419308982</x:v>
      </x:c>
      <x:c r="Q105" s="66" t="n">
        <x:v>5.80521988042072e-8</x:v>
      </x:c>
      <x:c r="R105" s="66" t="str">
        <x:v>C:\Users\admin\.codex\.chatgpt-projects\g-p-6910508be2a081919b9cb5881a96c92b\overnight_refinement_2026-08-27\reports\104_13k_Mp1p15_Am4_Op0p0001_ise_report.json</x:v>
      </x:c>
    </x:row>
    <x:row r="106">
      <x:c r="A106" s="66" t="str">
        <x:v>105_13k_Mp1p15_Am2_Op0p00001_ise</x:v>
      </x:c>
      <x:c r="B106" s="66" t="str">
        <x:v>13k</x:v>
      </x:c>
      <x:c r="C106" s="66" t="n">
        <x:v>1.15</x:v>
      </x:c>
      <x:c r="D106" s="66" t="n">
        <x:v>-2</x:v>
      </x:c>
      <x:c r="E106" s="66" t="n">
        <x:v>0.00001</x:v>
      </x:c>
      <x:c r="F106" s="66" t="str">
        <x:v>isentropic</x:v>
      </x:c>
      <x:c r="G106" s="66" t="str">
        <x:v>FQRUP</x:v>
      </x:c>
      <x:c r="H106" s="66" t="str">
        <x:v>OK</x:v>
      </x:c>
      <x:c r="I106" s="66" t="n">
        <x:v>1</x:v>
      </x:c>
      <x:c r="J106" s="66" t="n">
        <x:v>0</x:v>
      </x:c>
      <x:c r="K106" s="66" t="n">
        <x:v>85.922</x:v>
      </x:c>
      <x:c r="L106" s="66" t="n">
        <x:v>0.0471687820921626</x:v>
      </x:c>
      <x:c r="M106" s="66" t="n">
        <x:v>-0.000297774586339858</x:v>
      </x:c>
      <x:c r="N106" s="66" t="n">
        <x:v>0.00269836401062926</x:v>
      </x:c>
      <x:c r="O106" s="66" t="n">
        <x:v>0.0470458765986788</x:v>
      </x:c>
      <x:c r="P106" s="66" t="n">
        <x:v>0.00434288699526776</x:v>
      </x:c>
      <x:c r="Q106" s="66" t="n">
        <x:v>5.91365251280301e-9</x:v>
      </x:c>
      <x:c r="R106" s="66" t="str">
        <x:v>C:\Users\admin\.codex\.chatgpt-projects\g-p-6910508be2a081919b9cb5881a96c92b\overnight_refinement_2026-08-27\reports\105_13k_Mp1p15_Am2_Op0p00001_ise_report.json</x:v>
      </x:c>
    </x:row>
    <x:row r="107">
      <x:c r="A107" s="66" t="str">
        <x:v>106_13k_Mp1p15_Am2_Op0p0001_ise</x:v>
      </x:c>
      <x:c r="B107" s="66" t="str">
        <x:v>13k</x:v>
      </x:c>
      <x:c r="C107" s="66" t="n">
        <x:v>1.15</x:v>
      </x:c>
      <x:c r="D107" s="66" t="n">
        <x:v>-2</x:v>
      </x:c>
      <x:c r="E107" s="66" t="n">
        <x:v>0.0001</x:v>
      </x:c>
      <x:c r="F107" s="66" t="str">
        <x:v>isentropic</x:v>
      </x:c>
      <x:c r="G107" s="66" t="str">
        <x:v>FQRUP</x:v>
      </x:c>
      <x:c r="H107" s="66" t="str">
        <x:v>OK</x:v>
      </x:c>
      <x:c r="I107" s="66" t="n">
        <x:v>1</x:v>
      </x:c>
      <x:c r="J107" s="66" t="n">
        <x:v>0</x:v>
      </x:c>
      <x:c r="K107" s="66" t="n">
        <x:v>104.5</x:v>
      </x:c>
      <x:c r="L107" s="66" t="n">
        <x:v>0.0471591027393119</x:v>
      </x:c>
      <x:c r="M107" s="66" t="n">
        <x:v>-0.000297001505010665</x:v>
      </x:c>
      <x:c r="N107" s="66" t="n">
        <x:v>0.00270403929307344</x:v>
      </x:c>
      <x:c r="O107" s="66" t="n">
        <x:v>0.0470360050777274</x:v>
      </x:c>
      <x:c r="P107" s="66" t="n">
        <x:v>0.00434822101594032</x:v>
      </x:c>
      <x:c r="Q107" s="66" t="n">
        <x:v>5.91599962114668e-8</x:v>
      </x:c>
      <x:c r="R107" s="66" t="str">
        <x:v>C:\Users\admin\.codex\.chatgpt-projects\g-p-6910508be2a081919b9cb5881a96c92b\overnight_refinement_2026-08-27\reports\106_13k_Mp1p15_Am2_Op0p0001_ise_report.json</x:v>
      </x:c>
    </x:row>
    <x:row r="108">
      <x:c r="A108" s="66" t="str">
        <x:v>107_13k_Mp1p15_Ap0_Op0p00001_ise</x:v>
      </x:c>
      <x:c r="B108" s="66" t="str">
        <x:v>13k</x:v>
      </x:c>
      <x:c r="C108" s="66" t="n">
        <x:v>1.15</x:v>
      </x:c>
      <x:c r="D108" s="66" t="n">
        <x:v>0</x:v>
      </x:c>
      <x:c r="E108" s="66" t="n">
        <x:v>0.00001</x:v>
      </x:c>
      <x:c r="F108" s="66" t="str">
        <x:v>isentropic</x:v>
      </x:c>
      <x:c r="G108" s="66" t="str">
        <x:v>FQRUP</x:v>
      </x:c>
      <x:c r="H108" s="66" t="str">
        <x:v>OK</x:v>
      </x:c>
      <x:c r="I108" s="66" t="n">
        <x:v>1</x:v>
      </x:c>
      <x:c r="J108" s="66" t="n">
        <x:v>0</x:v>
      </x:c>
      <x:c r="K108" s="66" t="n">
        <x:v>104.875</x:v>
      </x:c>
      <x:c r="L108" s="66" t="n">
        <x:v>0.0502252343492346</x:v>
      </x:c>
      <x:c r="M108" s="66" t="n">
        <x:v>-0.0000431745322924162</x:v>
      </x:c>
      <x:c r="N108" s="66" t="n">
        <x:v>0.00267133429880909</x:v>
      </x:c>
      <x:c r="O108" s="66" t="n">
        <x:v>0.0502252343492346</x:v>
      </x:c>
      <x:c r="P108" s="66" t="n">
        <x:v>0.00267133429880909</x:v>
      </x:c>
      <x:c r="Q108" s="66" t="n">
        <x:v>6.06030295542544e-9</x:v>
      </x:c>
      <x:c r="R108" s="66" t="str">
        <x:v>C:\Users\admin\.codex\.chatgpt-projects\g-p-6910508be2a081919b9cb5881a96c92b\overnight_refinement_2026-08-27\reports\107_13k_Mp1p15_Ap0_Op0p00001_ise_report.json</x:v>
      </x:c>
    </x:row>
    <x:row r="109">
      <x:c r="A109" s="66" t="str">
        <x:v>108_13k_Mp1p15_Ap0_Op0p0001_ise</x:v>
      </x:c>
      <x:c r="B109" s="66" t="str">
        <x:v>13k</x:v>
      </x:c>
      <x:c r="C109" s="66" t="n">
        <x:v>1.15</x:v>
      </x:c>
      <x:c r="D109" s="66" t="n">
        <x:v>0</x:v>
      </x:c>
      <x:c r="E109" s="66" t="n">
        <x:v>0.0001</x:v>
      </x:c>
      <x:c r="F109" s="66" t="str">
        <x:v>isentropic</x:v>
      </x:c>
      <x:c r="G109" s="66" t="str">
        <x:v>FQRUP</x:v>
      </x:c>
      <x:c r="H109" s="66" t="str">
        <x:v>OK</x:v>
      </x:c>
      <x:c r="I109" s="66" t="n">
        <x:v>1</x:v>
      </x:c>
      <x:c r="J109" s="66" t="n">
        <x:v>0</x:v>
      </x:c>
      <x:c r="K109" s="66" t="n">
        <x:v>102.329</x:v>
      </x:c>
      <x:c r="L109" s="66" t="n">
        <x:v>0.0502174366917058</x:v>
      </x:c>
      <x:c r="M109" s="66" t="n">
        <x:v>-0.0000430852769955023</x:v>
      </x:c>
      <x:c r="N109" s="66" t="n">
        <x:v>0.00267359631318154</x:v>
      </x:c>
      <x:c r="O109" s="66" t="n">
        <x:v>0.0502174366917058</x:v>
      </x:c>
      <x:c r="P109" s="66" t="n">
        <x:v>0.00267359631318154</x:v>
      </x:c>
      <x:c r="Q109" s="66" t="n">
        <x:v>6.05934950871523e-8</x:v>
      </x:c>
      <x:c r="R109" s="66" t="str">
        <x:v>C:\Users\admin\.codex\.chatgpt-projects\g-p-6910508be2a081919b9cb5881a96c92b\overnight_refinement_2026-08-27\reports\108_13k_Mp1p15_Ap0_Op0p0001_ise_report.json</x:v>
      </x:c>
    </x:row>
    <x:row r="110">
      <x:c r="A110" s="66" t="str">
        <x:v>109_13k_Mp1p15_Ap2_Op0p00001_ise</x:v>
      </x:c>
      <x:c r="B110" s="66" t="str">
        <x:v>13k</x:v>
      </x:c>
      <x:c r="C110" s="66" t="n">
        <x:v>1.15</x:v>
      </x:c>
      <x:c r="D110" s="66" t="n">
        <x:v>2</x:v>
      </x:c>
      <x:c r="E110" s="66" t="n">
        <x:v>0.00001</x:v>
      </x:c>
      <x:c r="F110" s="66" t="str">
        <x:v>isentropic</x:v>
      </x:c>
      <x:c r="G110" s="66" t="str">
        <x:v>FQRUP</x:v>
      </x:c>
      <x:c r="H110" s="66" t="str">
        <x:v>OK</x:v>
      </x:c>
      <x:c r="I110" s="66" t="n">
        <x:v>1</x:v>
      </x:c>
      <x:c r="J110" s="66" t="n">
        <x:v>0</x:v>
      </x:c>
      <x:c r="K110" s="66" t="n">
        <x:v>105.297</x:v>
      </x:c>
      <x:c r="L110" s="66" t="n">
        <x:v>0.0476170485597102</x:v>
      </x:c>
      <x:c r="M110" s="66" t="n">
        <x:v>0.000629004263499842</x:v>
      </x:c>
      <x:c r="N110" s="66" t="n">
        <x:v>-0.00421837891441002</x:v>
      </x:c>
      <x:c r="O110" s="66" t="n">
        <x:v>0.0474408222392839</x:v>
      </x:c>
      <x:c r="P110" s="66" t="n">
        <x:v>-0.00587762022114458</x:v>
      </x:c>
      <x:c r="Q110" s="66" t="n">
        <x:v>6.25086253093595e-9</x:v>
      </x:c>
      <x:c r="R110" s="66" t="str">
        <x:v>C:\Users\admin\.codex\.chatgpt-projects\g-p-6910508be2a081919b9cb5881a96c92b\overnight_refinement_2026-08-27\reports\109_13k_Mp1p15_Ap2_Op0p00001_ise_report.json</x:v>
      </x:c>
    </x:row>
    <x:row r="111">
      <x:c r="A111" s="66" t="str">
        <x:v>110_13k_Mp1p15_Ap2_Op0p0001_ise</x:v>
      </x:c>
      <x:c r="B111" s="66" t="str">
        <x:v>13k</x:v>
      </x:c>
      <x:c r="C111" s="66" t="n">
        <x:v>1.15</x:v>
      </x:c>
      <x:c r="D111" s="66" t="n">
        <x:v>2</x:v>
      </x:c>
      <x:c r="E111" s="66" t="n">
        <x:v>0.0001</x:v>
      </x:c>
      <x:c r="F111" s="66" t="str">
        <x:v>isentropic</x:v>
      </x:c>
      <x:c r="G111" s="66" t="str">
        <x:v>FQRUP</x:v>
      </x:c>
      <x:c r="H111" s="66" t="str">
        <x:v>OK</x:v>
      </x:c>
      <x:c r="I111" s="66" t="n">
        <x:v>1</x:v>
      </x:c>
      <x:c r="J111" s="66" t="n">
        <x:v>0</x:v>
      </x:c>
      <x:c r="K111" s="66" t="n">
        <x:v>102.297</x:v>
      </x:c>
      <x:c r="L111" s="66" t="n">
        <x:v>0.047609225280583</x:v>
      </x:c>
      <x:c r="M111" s="66" t="n">
        <x:v>0.000630704585328203</x:v>
      </x:c>
      <x:c r="N111" s="66" t="n">
        <x:v>-0.00420639402123063</x:v>
      </x:c>
      <x:c r="O111" s="66" t="n">
        <x:v>0.0474334219926269</x:v>
      </x:c>
      <x:c r="P111" s="66" t="n">
        <x:v>-0.00586536960033419</x:v>
      </x:c>
      <x:c r="Q111" s="66" t="n">
        <x:v>6.2469780064872e-8</x:v>
      </x:c>
      <x:c r="R111" s="66" t="str">
        <x:v>C:\Users\admin\.codex\.chatgpt-projects\g-p-6910508be2a081919b9cb5881a96c92b\overnight_refinement_2026-08-27\reports\110_13k_Mp1p15_Ap2_Op0p0001_ise_report.json</x:v>
      </x:c>
    </x:row>
    <x:row r="112">
      <x:c r="A112" s="66" t="str">
        <x:v>111_13k_Mp1p15_Ap4_Op0p00001_ise</x:v>
      </x:c>
      <x:c r="B112" s="66" t="str">
        <x:v>13k</x:v>
      </x:c>
      <x:c r="C112" s="66" t="n">
        <x:v>1.15</x:v>
      </x:c>
      <x:c r="D112" s="66" t="n">
        <x:v>4</x:v>
      </x:c>
      <x:c r="E112" s="66" t="n">
        <x:v>0.00001</x:v>
      </x:c>
      <x:c r="F112" s="66" t="str">
        <x:v>isentropic</x:v>
      </x:c>
      <x:c r="G112" s="66" t="str">
        <x:v>FQRUP</x:v>
      </x:c>
      <x:c r="H112" s="66" t="str">
        <x:v>OK</x:v>
      </x:c>
      <x:c r="I112" s="66" t="n">
        <x:v>1</x:v>
      </x:c>
      <x:c r="J112" s="66" t="n">
        <x:v>0</x:v>
      </x:c>
      <x:c r="K112" s="66" t="n">
        <x:v>51.266</x:v>
      </x:c>
      <x:c r="L112" s="66" t="n">
        <x:v>0.0409432879078264</x:v>
      </x:c>
      <x:c r="M112" s="66" t="n">
        <x:v>0.0000629767306468164</x:v>
      </x:c>
      <x:c r="N112" s="66" t="n">
        <x:v>0.0213060905811801</x:v>
      </x:c>
      <x:c r="O112" s="66" t="n">
        <x:v>0.0423297898645014</x:v>
      </x:c>
      <x:c r="P112" s="66" t="n">
        <x:v>0.0183981306274243</x:v>
      </x:c>
      <x:c r="Q112" s="66" t="n">
        <x:v>6.60378516245918e-9</x:v>
      </x:c>
      <x:c r="R112" s="66" t="str">
        <x:v>C:\Users\admin\.codex\.chatgpt-projects\g-p-6910508be2a081919b9cb5881a96c92b\overnight_refinement_2026-08-27\reports\111_13k_Mp1p15_Ap4_Op0p00001_ise_report.json</x:v>
      </x:c>
    </x:row>
    <x:row r="113">
      <x:c r="A113" s="66" t="str">
        <x:v>112_13k_Mp1p15_Ap4_Op0p0001_ise</x:v>
      </x:c>
      <x:c r="B113" s="66" t="str">
        <x:v>13k</x:v>
      </x:c>
      <x:c r="C113" s="66" t="n">
        <x:v>1.15</x:v>
      </x:c>
      <x:c r="D113" s="66" t="n">
        <x:v>4</x:v>
      </x:c>
      <x:c r="E113" s="66" t="n">
        <x:v>0.0001</x:v>
      </x:c>
      <x:c r="F113" s="66" t="str">
        <x:v>isentropic</x:v>
      </x:c>
      <x:c r="G113" s="66" t="str">
        <x:v>FQRUP</x:v>
      </x:c>
      <x:c r="H113" s="66" t="str">
        <x:v>OK</x:v>
      </x:c>
      <x:c r="I113" s="66" t="n">
        <x:v>1</x:v>
      </x:c>
      <x:c r="J113" s="66" t="n">
        <x:v>0</x:v>
      </x:c>
      <x:c r="K113" s="66" t="n">
        <x:v>103.984</x:v>
      </x:c>
      <x:c r="L113" s="66" t="n">
        <x:v>0.040935895799831</x:v>
      </x:c>
      <x:c r="M113" s="66" t="n">
        <x:v>0.0000629072365342641</x:v>
      </x:c>
      <x:c r="N113" s="66" t="n">
        <x:v>0.0212989500313217</x:v>
      </x:c>
      <x:c r="O113" s="66" t="n">
        <x:v>0.0423219176637309</x:v>
      </x:c>
      <x:c r="P113" s="66" t="n">
        <x:v>0.0183915231189737</x:v>
      </x:c>
      <x:c r="Q113" s="66" t="n">
        <x:v>6.59356670798377e-8</x:v>
      </x:c>
      <x:c r="R113" s="66" t="str">
        <x:v>C:\Users\admin\.codex\.chatgpt-projects\g-p-6910508be2a081919b9cb5881a96c92b\overnight_refinement_2026-08-27\reports\112_13k_Mp1p15_Ap4_Op0p0001_ise_report.json</x:v>
      </x:c>
    </x:row>
    <x:row r="114">
      <x:c r="A114" s="66" t="str">
        <x:v>113_13k_Mp1p2_Am4_Op0p00001_ise</x:v>
      </x:c>
      <x:c r="B114" s="66" t="str">
        <x:v>13k</x:v>
      </x:c>
      <x:c r="C114" s="66" t="n">
        <x:v>1.2</x:v>
      </x:c>
      <x:c r="D114" s="66" t="n">
        <x:v>-4</x:v>
      </x:c>
      <x:c r="E114" s="66" t="n">
        <x:v>0.00001</x:v>
      </x:c>
      <x:c r="F114" s="66" t="str">
        <x:v>isentropic</x:v>
      </x:c>
      <x:c r="G114" s="66" t="str">
        <x:v>FQRUP</x:v>
      </x:c>
      <x:c r="H114" s="66" t="str">
        <x:v>OK</x:v>
      </x:c>
      <x:c r="I114" s="66" t="n">
        <x:v>1</x:v>
      </x:c>
      <x:c r="J114" s="66" t="n">
        <x:v>0</x:v>
      </x:c>
      <x:c r="K114" s="66" t="n">
        <x:v>66.562</x:v>
      </x:c>
      <x:c r="L114" s="66" t="n">
        <x:v>0.0380790729145652</x:v>
      </x:c>
      <x:c r="M114" s="66" t="n">
        <x:v>-0.000488899159541304</x:v>
      </x:c>
      <x:c r="N114" s="66" t="n">
        <x:v>-0.0157199667257844</x:v>
      </x:c>
      <x:c r="O114" s="66" t="n">
        <x:v>0.0390828836529585</x:v>
      </x:c>
      <x:c r="P114" s="66" t="n">
        <x:v>-0.0130254118269577</x:v>
      </x:c>
      <x:c r="Q114" s="66" t="n">
        <x:v>6.22826937172423e-9</x:v>
      </x:c>
      <x:c r="R114" s="66" t="str">
        <x:v>C:\Users\admin\.codex\.chatgpt-projects\g-p-6910508be2a081919b9cb5881a96c92b\overnight_refinement_2026-08-27\reports\113_13k_Mp1p2_Am4_Op0p00001_ise_report.json</x:v>
      </x:c>
    </x:row>
    <x:row r="115">
      <x:c r="A115" s="66" t="str">
        <x:v>114_13k_Mp1p2_Am4_Op0p0001_ise</x:v>
      </x:c>
      <x:c r="B115" s="66" t="str">
        <x:v>13k</x:v>
      </x:c>
      <x:c r="C115" s="66" t="n">
        <x:v>1.2</x:v>
      </x:c>
      <x:c r="D115" s="66" t="n">
        <x:v>-4</x:v>
      </x:c>
      <x:c r="E115" s="66" t="n">
        <x:v>0.0001</x:v>
      </x:c>
      <x:c r="F115" s="66" t="str">
        <x:v>isentropic</x:v>
      </x:c>
      <x:c r="G115" s="66" t="str">
        <x:v>FQRUP</x:v>
      </x:c>
      <x:c r="H115" s="66" t="str">
        <x:v>OK</x:v>
      </x:c>
      <x:c r="I115" s="66" t="n">
        <x:v>1</x:v>
      </x:c>
      <x:c r="J115" s="66" t="n">
        <x:v>0</x:v>
      </x:c>
      <x:c r="K115" s="66" t="n">
        <x:v>83.078</x:v>
      </x:c>
      <x:c r="L115" s="66" t="n">
        <x:v>0.0380695483008014</x:v>
      </x:c>
      <x:c r="M115" s="66" t="n">
        <x:v>-0.000492253945007702</x:v>
      </x:c>
      <x:c r="N115" s="66" t="n">
        <x:v>-0.0157179630333846</x:v>
      </x:c>
      <x:c r="O115" s="66" t="n">
        <x:v>0.0390732424701589</x:v>
      </x:c>
      <x:c r="P115" s="66" t="n">
        <x:v>-0.0130240774189218</x:v>
      </x:c>
      <x:c r="Q115" s="66" t="n">
        <x:v>6.23680857587483e-8</x:v>
      </x:c>
      <x:c r="R115" s="66" t="str">
        <x:v>C:\Users\admin\.codex\.chatgpt-projects\g-p-6910508be2a081919b9cb5881a96c92b\overnight_refinement_2026-08-27\reports\114_13k_Mp1p2_Am4_Op0p0001_ise_report.json</x:v>
      </x:c>
    </x:row>
    <x:row r="116">
      <x:c r="A116" s="66" t="str">
        <x:v>115_13k_Mp1p2_Am2_Op0p00001_ise</x:v>
      </x:c>
      <x:c r="B116" s="66" t="str">
        <x:v>13k</x:v>
      </x:c>
      <x:c r="C116" s="66" t="n">
        <x:v>1.2</x:v>
      </x:c>
      <x:c r="D116" s="66" t="n">
        <x:v>-2</x:v>
      </x:c>
      <x:c r="E116" s="66" t="n">
        <x:v>0.00001</x:v>
      </x:c>
      <x:c r="F116" s="66" t="str">
        <x:v>isentropic</x:v>
      </x:c>
      <x:c r="G116" s="66" t="str">
        <x:v>FQRUP</x:v>
      </x:c>
      <x:c r="H116" s="66" t="str">
        <x:v>OK</x:v>
      </x:c>
      <x:c r="I116" s="66" t="n">
        <x:v>1</x:v>
      </x:c>
      <x:c r="J116" s="66" t="n">
        <x:v>0</x:v>
      </x:c>
      <x:c r="K116" s="66" t="n">
        <x:v>48.484</x:v>
      </x:c>
      <x:c r="L116" s="66" t="n">
        <x:v>0.0440577292766883</x:v>
      </x:c>
      <x:c r="M116" s="66" t="n">
        <x:v>-0.0000410750841635508</x:v>
      </x:c>
      <x:c r="N116" s="66" t="n">
        <x:v>0.00626005443661463</x:v>
      </x:c>
      <x:c r="O116" s="66" t="n">
        <x:v>0.0438124177492448</x:v>
      </x:c>
      <x:c r="P116" s="66" t="n">
        <x:v>0.00779383355820432</x:v>
      </x:c>
      <x:c r="Q116" s="66" t="n">
        <x:v>6.39533929315043e-9</x:v>
      </x:c>
      <x:c r="R116" s="66" t="str">
        <x:v>C:\Users\admin\.codex\.chatgpt-projects\g-p-6910508be2a081919b9cb5881a96c92b\overnight_refinement_2026-08-27\reports\115_13k_Mp1p2_Am2_Op0p00001_ise_report.json</x:v>
      </x:c>
    </x:row>
    <x:row r="117">
      <x:c r="A117" s="66" t="str">
        <x:v>116_13k_Mp1p2_Am2_Op0p0001_ise</x:v>
      </x:c>
      <x:c r="B117" s="66" t="str">
        <x:v>13k</x:v>
      </x:c>
      <x:c r="C117" s="66" t="n">
        <x:v>1.2</x:v>
      </x:c>
      <x:c r="D117" s="66" t="n">
        <x:v>-2</x:v>
      </x:c>
      <x:c r="E117" s="66" t="n">
        <x:v>0.0001</x:v>
      </x:c>
      <x:c r="F117" s="66" t="str">
        <x:v>isentropic</x:v>
      </x:c>
      <x:c r="G117" s="66" t="str">
        <x:v>FQRUP</x:v>
      </x:c>
      <x:c r="H117" s="66" t="str">
        <x:v>OK</x:v>
      </x:c>
      <x:c r="I117" s="66" t="n">
        <x:v>1</x:v>
      </x:c>
      <x:c r="J117" s="66" t="n">
        <x:v>0</x:v>
      </x:c>
      <x:c r="K117" s="66" t="n">
        <x:v>91.828</x:v>
      </x:c>
      <x:c r="L117" s="66" t="n">
        <x:v>0.0440483730502151</x:v>
      </x:c>
      <x:c r="M117" s="66" t="n">
        <x:v>-0.0000412288270832153</x:v>
      </x:c>
      <x:c r="N117" s="66" t="n">
        <x:v>0.00626272591255147</x:v>
      </x:c>
      <x:c r="O117" s="66" t="n">
        <x:v>0.0438029739891664</x:v>
      </x:c>
      <x:c r="P117" s="66" t="n">
        <x:v>0.00779617687915525</x:v>
      </x:c>
      <x:c r="Q117" s="66" t="n">
        <x:v>6.40115410799338e-8</x:v>
      </x:c>
      <x:c r="R117" s="66" t="str">
        <x:v>C:\Users\admin\.codex\.chatgpt-projects\g-p-6910508be2a081919b9cb5881a96c92b\overnight_refinement_2026-08-27\reports\116_13k_Mp1p2_Am2_Op0p0001_ise_report.json</x:v>
      </x:c>
    </x:row>
    <x:row r="118">
      <x:c r="A118" s="66" t="str">
        <x:v>117_13k_Mp1p2_Ap0_Op0p00001_ise</x:v>
      </x:c>
      <x:c r="B118" s="66" t="str">
        <x:v>13k</x:v>
      </x:c>
      <x:c r="C118" s="66" t="n">
        <x:v>1.2</x:v>
      </x:c>
      <x:c r="D118" s="66" t="n">
        <x:v>0</x:v>
      </x:c>
      <x:c r="E118" s="66" t="n">
        <x:v>0.00001</x:v>
      </x:c>
      <x:c r="F118" s="66" t="str">
        <x:v>isentropic</x:v>
      </x:c>
      <x:c r="G118" s="66" t="str">
        <x:v>FQRUP</x:v>
      </x:c>
      <x:c r="H118" s="66" t="str">
        <x:v>OK</x:v>
      </x:c>
      <x:c r="I118" s="66" t="n">
        <x:v>1</x:v>
      </x:c>
      <x:c r="J118" s="66" t="n">
        <x:v>0</x:v>
      </x:c>
      <x:c r="K118" s="66" t="n">
        <x:v>89.25</x:v>
      </x:c>
      <x:c r="L118" s="66" t="n">
        <x:v>0.0480540588877232</x:v>
      </x:c>
      <x:c r="M118" s="66" t="n">
        <x:v>-0.000433685813620297</x:v>
      </x:c>
      <x:c r="N118" s="66" t="n">
        <x:v>0.00138696719410072</x:v>
      </x:c>
      <x:c r="O118" s="66" t="n">
        <x:v>0.0480540588877232</x:v>
      </x:c>
      <x:c r="P118" s="66" t="n">
        <x:v>0.00138696719410072</x:v>
      </x:c>
      <x:c r="Q118" s="66" t="n">
        <x:v>6.61811703551391e-9</x:v>
      </x:c>
      <x:c r="R118" s="66" t="str">
        <x:v>C:\Users\admin\.codex\.chatgpt-projects\g-p-6910508be2a081919b9cb5881a96c92b\overnight_refinement_2026-08-27\reports\117_13k_Mp1p2_Ap0_Op0p00001_ise_report.json</x:v>
      </x:c>
    </x:row>
    <x:row r="119">
      <x:c r="A119" s="66" t="str">
        <x:v>118_13k_Mp1p2_Ap0_Op0p0001_ise</x:v>
      </x:c>
      <x:c r="B119" s="66" t="str">
        <x:v>13k</x:v>
      </x:c>
      <x:c r="C119" s="66" t="n">
        <x:v>1.2</x:v>
      </x:c>
      <x:c r="D119" s="66" t="n">
        <x:v>0</x:v>
      </x:c>
      <x:c r="E119" s="66" t="n">
        <x:v>0.0001</x:v>
      </x:c>
      <x:c r="F119" s="66" t="str">
        <x:v>isentropic</x:v>
      </x:c>
      <x:c r="G119" s="66" t="str">
        <x:v>FQRUP</x:v>
      </x:c>
      <x:c r="H119" s="66" t="str">
        <x:v>OK</x:v>
      </x:c>
      <x:c r="I119" s="66" t="n">
        <x:v>1</x:v>
      </x:c>
      <x:c r="J119" s="66" t="n">
        <x:v>0</x:v>
      </x:c>
      <x:c r="K119" s="66" t="n">
        <x:v>43.156</x:v>
      </x:c>
      <x:c r="L119" s="66" t="n">
        <x:v>0.0480464134405661</x:v>
      </x:c>
      <x:c r="M119" s="66" t="n">
        <x:v>-0.000437252325335026</x:v>
      </x:c>
      <x:c r="N119" s="66" t="n">
        <x:v>0.00139372621070882</x:v>
      </x:c>
      <x:c r="O119" s="66" t="n">
        <x:v>0.0480464134405661</x:v>
      </x:c>
      <x:c r="P119" s="66" t="n">
        <x:v>0.00139372621070882</x:v>
      </x:c>
      <x:c r="Q119" s="66" t="n">
        <x:v>6.62094924926444e-8</x:v>
      </x:c>
      <x:c r="R119" s="66" t="str">
        <x:v>C:\Users\admin\.codex\.chatgpt-projects\g-p-6910508be2a081919b9cb5881a96c92b\overnight_refinement_2026-08-27\reports\118_13k_Mp1p2_Ap0_Op0p0001_ise_report.json</x:v>
      </x:c>
    </x:row>
    <x:row r="120">
      <x:c r="A120" s="66" t="str">
        <x:v>119_13k_Mp1p2_Ap2_Op0p00001_ise</x:v>
      </x:c>
      <x:c r="B120" s="66" t="str">
        <x:v>13k</x:v>
      </x:c>
      <x:c r="C120" s="66" t="n">
        <x:v>1.2</x:v>
      </x:c>
      <x:c r="D120" s="66" t="n">
        <x:v>2</x:v>
      </x:c>
      <x:c r="E120" s="66" t="n">
        <x:v>0.00001</x:v>
      </x:c>
      <x:c r="F120" s="66" t="str">
        <x:v>isentropic</x:v>
      </x:c>
      <x:c r="G120" s="66" t="str">
        <x:v>FQRUP</x:v>
      </x:c>
      <x:c r="H120" s="66" t="str">
        <x:v>OK</x:v>
      </x:c>
      <x:c r="I120" s="66" t="n">
        <x:v>1</x:v>
      </x:c>
      <x:c r="J120" s="66" t="n">
        <x:v>0</x:v>
      </x:c>
      <x:c r="K120" s="66" t="n">
        <x:v>48.75</x:v>
      </x:c>
      <x:c r="L120" s="66" t="n">
        <x:v>0.0457838350606152</x:v>
      </x:c>
      <x:c r="M120" s="66" t="n">
        <x:v>-0.000630215118284412</x:v>
      </x:c>
      <x:c r="N120" s="66" t="n">
        <x:v>-0.00509178992474692</x:v>
      </x:c>
      <x:c r="O120" s="66" t="n">
        <x:v>0.0455782438796456</x:v>
      </x:c>
      <x:c r="P120" s="66" t="n">
        <x:v>-0.00668652094462611</x:v>
      </x:c>
      <x:c r="Q120" s="66" t="n">
        <x:v>6.91070261442668e-9</x:v>
      </x:c>
      <x:c r="R120" s="66" t="str">
        <x:v>C:\Users\admin\.codex\.chatgpt-projects\g-p-6910508be2a081919b9cb5881a96c92b\overnight_refinement_2026-08-27\reports\119_13k_Mp1p2_Ap2_Op0p00001_ise_report.json</x:v>
      </x:c>
    </x:row>
    <x:row r="121">
      <x:c r="A121" s="66" t="str">
        <x:v>120_13k_Mp1p2_Ap2_Op0p0001_ise</x:v>
      </x:c>
      <x:c r="B121" s="66" t="str">
        <x:v>13k</x:v>
      </x:c>
      <x:c r="C121" s="66" t="n">
        <x:v>1.2</x:v>
      </x:c>
      <x:c r="D121" s="66" t="n">
        <x:v>2</x:v>
      </x:c>
      <x:c r="E121" s="66" t="n">
        <x:v>0.0001</x:v>
      </x:c>
      <x:c r="F121" s="66" t="str">
        <x:v>isentropic</x:v>
      </x:c>
      <x:c r="G121" s="66" t="str">
        <x:v>FQRUP</x:v>
      </x:c>
      <x:c r="H121" s="66" t="str">
        <x:v>OK</x:v>
      </x:c>
      <x:c r="I121" s="66" t="n">
        <x:v>1</x:v>
      </x:c>
      <x:c r="J121" s="66" t="n">
        <x:v>0</x:v>
      </x:c>
      <x:c r="K121" s="66" t="n">
        <x:v>90.172</x:v>
      </x:c>
      <x:c r="L121" s="66" t="n">
        <x:v>0.0457766779273187</x:v>
      </x:c>
      <x:c r="M121" s="66" t="n">
        <x:v>-0.000629781193083103</x:v>
      </x:c>
      <x:c r="N121" s="66" t="n">
        <x:v>-0.00507306248858526</x:v>
      </x:c>
      <x:c r="O121" s="66" t="n">
        <x:v>0.0455717446843779</x:v>
      </x:c>
      <x:c r="P121" s="66" t="n">
        <x:v>-0.00666755513636268</x:v>
      </x:c>
      <x:c r="Q121" s="66" t="n">
        <x:v>6.91059563342347e-8</x:v>
      </x:c>
      <x:c r="R121" s="66" t="str">
        <x:v>C:\Users\admin\.codex\.chatgpt-projects\g-p-6910508be2a081919b9cb5881a96c92b\overnight_refinement_2026-08-27\reports\120_13k_Mp1p2_Ap2_Op0p0001_ise_report.json</x:v>
      </x:c>
    </x:row>
    <x:row r="122">
      <x:c r="A122" s="66" t="str">
        <x:v>121_13k_Mp1p2_Ap4_Op0p00001_ise</x:v>
      </x:c>
      <x:c r="B122" s="66" t="str">
        <x:v>13k</x:v>
      </x:c>
      <x:c r="C122" s="66" t="n">
        <x:v>1.2</x:v>
      </x:c>
      <x:c r="D122" s="66" t="n">
        <x:v>4</x:v>
      </x:c>
      <x:c r="E122" s="66" t="n">
        <x:v>0.00001</x:v>
      </x:c>
      <x:c r="F122" s="66" t="str">
        <x:v>isentropic</x:v>
      </x:c>
      <x:c r="G122" s="66" t="str">
        <x:v>FQRUP</x:v>
      </x:c>
      <x:c r="H122" s="66" t="str">
        <x:v>OK</x:v>
      </x:c>
      <x:c r="I122" s="66" t="n">
        <x:v>1</x:v>
      </x:c>
      <x:c r="J122" s="66" t="n">
        <x:v>0</x:v>
      </x:c>
      <x:c r="K122" s="66" t="n">
        <x:v>46.047</x:v>
      </x:c>
      <x:c r="L122" s="66" t="n">
        <x:v>0.037917122942526</x:v>
      </x:c>
      <x:c r="M122" s="66" t="n">
        <x:v>-0.00165308187032832</x:v>
      </x:c>
      <x:c r="N122" s="66" t="n">
        <x:v>0.0246580970030773</x:v>
      </x:c>
      <x:c r="O122" s="66" t="n">
        <x:v>0.0395448206329212</x:v>
      </x:c>
      <x:c r="P122" s="66" t="n">
        <x:v>0.0219530663270963</x:v>
      </x:c>
      <x:c r="Q122" s="66" t="n">
        <x:v>7.2386779060423e-9</x:v>
      </x:c>
      <x:c r="R122" s="66" t="str">
        <x:v>C:\Users\admin\.codex\.chatgpt-projects\g-p-6910508be2a081919b9cb5881a96c92b\overnight_refinement_2026-08-27\reports\121_13k_Mp1p2_Ap4_Op0p00001_ise_report.json</x:v>
      </x:c>
    </x:row>
    <x:row r="123">
      <x:c r="A123" s="66" t="str">
        <x:v>122_13k_Mp1p2_Ap4_Op0p0001_ise</x:v>
      </x:c>
      <x:c r="B123" s="66" t="str">
        <x:v>13k</x:v>
      </x:c>
      <x:c r="C123" s="66" t="n">
        <x:v>1.2</x:v>
      </x:c>
      <x:c r="D123" s="66" t="n">
        <x:v>4</x:v>
      </x:c>
      <x:c r="E123" s="66" t="n">
        <x:v>0.0001</x:v>
      </x:c>
      <x:c r="F123" s="66" t="str">
        <x:v>isentropic</x:v>
      </x:c>
      <x:c r="G123" s="66" t="str">
        <x:v>FQRUP</x:v>
      </x:c>
      <x:c r="H123" s="66" t="str">
        <x:v>OK</x:v>
      </x:c>
      <x:c r="I123" s="66" t="n">
        <x:v>1</x:v>
      </x:c>
      <x:c r="J123" s="66" t="n">
        <x:v>0</x:v>
      </x:c>
      <x:c r="K123" s="66" t="n">
        <x:v>38.172</x:v>
      </x:c>
      <x:c r="L123" s="66" t="n">
        <x:v>0.0379158292416566</x:v>
      </x:c>
      <x:c r="M123" s="66" t="n">
        <x:v>-0.0016498897060501</x:v>
      </x:c>
      <x:c r="N123" s="66" t="n">
        <x:v>0.0246570526328535</x:v>
      </x:c>
      <x:c r="O123" s="66" t="n">
        <x:v>0.039543457231858</x:v>
      </x:c>
      <x:c r="P123" s="66" t="n">
        <x:v>0.0219521147449166</x:v>
      </x:c>
      <x:c r="Q123" s="66" t="n">
        <x:v>7.2352671290504e-8</x:v>
      </x:c>
      <x:c r="R123" s="66" t="str">
        <x:v>C:\Users\admin\.codex\.chatgpt-projects\g-p-6910508be2a081919b9cb5881a96c92b\overnight_refinement_2026-08-27\reports\122_13k_Mp1p2_Ap4_Op0p0001_ise_report.json</x:v>
      </x:c>
    </x:row>
    <x:row r="124">
      <x:c r="A124" s="66" t="str">
        <x:v>123_13k_Mp1p25_Am4_Op0p00001_ise</x:v>
      </x:c>
      <x:c r="B124" s="66" t="str">
        <x:v>13k</x:v>
      </x:c>
      <x:c r="C124" s="66" t="n">
        <x:v>1.25</x:v>
      </x:c>
      <x:c r="D124" s="66" t="n">
        <x:v>-4</x:v>
      </x:c>
      <x:c r="E124" s="66" t="n">
        <x:v>0.00001</x:v>
      </x:c>
      <x:c r="F124" s="66" t="str">
        <x:v>isentropic</x:v>
      </x:c>
      <x:c r="G124" s="66" t="str">
        <x:v>FQRUP</x:v>
      </x:c>
      <x:c r="H124" s="66" t="str">
        <x:v>OK</x:v>
      </x:c>
      <x:c r="I124" s="66" t="n">
        <x:v>1</x:v>
      </x:c>
      <x:c r="J124" s="66" t="n">
        <x:v>0</x:v>
      </x:c>
      <x:c r="K124" s="66" t="n">
        <x:v>35.437</x:v>
      </x:c>
      <x:c r="L124" s="66" t="n">
        <x:v>0.036486154003796</x:v>
      </x:c>
      <x:c r="M124" s="66" t="n">
        <x:v>-0.000853595575290852</x:v>
      </x:c>
      <x:c r="N124" s="66" t="n">
        <x:v>-0.0096761094295075</x:v>
      </x:c>
      <x:c r="O124" s="66" t="n">
        <x:v>0.0370722468397952</x:v>
      </x:c>
      <x:c r="P124" s="66" t="n">
        <x:v>-0.00710739346946687</x:v>
      </x:c>
      <x:c r="Q124" s="66" t="n">
        <x:v>6.35070511407584e-9</x:v>
      </x:c>
      <x:c r="R124" s="66" t="str">
        <x:v>C:\Users\admin\.codex\.chatgpt-projects\g-p-6910508be2a081919b9cb5881a96c92b\overnight_refinement_2026-08-27\reports\123_13k_Mp1p25_Am4_Op0p00001_ise_report.json</x:v>
      </x:c>
    </x:row>
    <x:row r="125">
      <x:c r="A125" s="66" t="str">
        <x:v>124_13k_Mp1p25_Am4_Op0p0001_ise</x:v>
      </x:c>
      <x:c r="B125" s="66" t="str">
        <x:v>13k</x:v>
      </x:c>
      <x:c r="C125" s="66" t="n">
        <x:v>1.25</x:v>
      </x:c>
      <x:c r="D125" s="66" t="n">
        <x:v>-4</x:v>
      </x:c>
      <x:c r="E125" s="66" t="n">
        <x:v>0.0001</x:v>
      </x:c>
      <x:c r="F125" s="66" t="str">
        <x:v>isentropic</x:v>
      </x:c>
      <x:c r="G125" s="66" t="str">
        <x:v>FQRUP</x:v>
      </x:c>
      <x:c r="H125" s="66" t="str">
        <x:v>OK</x:v>
      </x:c>
      <x:c r="I125" s="66" t="n">
        <x:v>1</x:v>
      </x:c>
      <x:c r="J125" s="66" t="n">
        <x:v>0</x:v>
      </x:c>
      <x:c r="K125" s="66" t="n">
        <x:v>35.391</x:v>
      </x:c>
      <x:c r="L125" s="66" t="n">
        <x:v>0.0364805506875108</x:v>
      </x:c>
      <x:c r="M125" s="66" t="n">
        <x:v>-0.000860772511445335</x:v>
      </x:c>
      <x:c r="N125" s="66" t="n">
        <x:v>-0.00968958990882052</x:v>
      </x:c>
      <x:c r="O125" s="66" t="n">
        <x:v>0.0370675975236081</x:v>
      </x:c>
      <x:c r="P125" s="66" t="n">
        <x:v>-0.00712123197859514</x:v>
      </x:c>
      <x:c r="Q125" s="66" t="n">
        <x:v>6.33596974618497e-8</x:v>
      </x:c>
      <x:c r="R125" s="66" t="str">
        <x:v>C:\Users\admin\.codex\.chatgpt-projects\g-p-6910508be2a081919b9cb5881a96c92b\overnight_refinement_2026-08-27\reports\124_13k_Mp1p25_Am4_Op0p0001_ise_report.json</x:v>
      </x:c>
    </x:row>
    <x:row r="126">
      <x:c r="A126" s="66" t="str">
        <x:v>125_13k_Mp1p25_Am2_Op0p00001_ise</x:v>
      </x:c>
      <x:c r="B126" s="66" t="str">
        <x:v>13k</x:v>
      </x:c>
      <x:c r="C126" s="66" t="n">
        <x:v>1.25</x:v>
      </x:c>
      <x:c r="D126" s="66" t="n">
        <x:v>-2</x:v>
      </x:c>
      <x:c r="E126" s="66" t="n">
        <x:v>0.00001</x:v>
      </x:c>
      <x:c r="F126" s="66" t="str">
        <x:v>isentropic</x:v>
      </x:c>
      <x:c r="G126" s="66" t="str">
        <x:v>FQRUP</x:v>
      </x:c>
      <x:c r="H126" s="66" t="str">
        <x:v>OK</x:v>
      </x:c>
      <x:c r="I126" s="66" t="n">
        <x:v>1</x:v>
      </x:c>
      <x:c r="J126" s="66" t="n">
        <x:v>0</x:v>
      </x:c>
      <x:c r="K126" s="66" t="n">
        <x:v>35.391</x:v>
      </x:c>
      <x:c r="L126" s="66" t="n">
        <x:v>0.042047113062085</x:v>
      </x:c>
      <x:c r="M126" s="66" t="n">
        <x:v>-0.000215950310444741</x:v>
      </x:c>
      <x:c r="N126" s="66" t="n">
        <x:v>0.00784961147257285</x:v>
      </x:c>
      <x:c r="O126" s="66" t="n">
        <x:v>0.0417475516071796</x:v>
      </x:c>
      <x:c r="P126" s="66" t="n">
        <x:v>0.00931225278501308</x:v>
      </x:c>
      <x:c r="Q126" s="66" t="n">
        <x:v>6.5762946796412e-9</x:v>
      </x:c>
      <x:c r="R126" s="66" t="str">
        <x:v>C:\Users\admin\.codex\.chatgpt-projects\g-p-6910508be2a081919b9cb5881a96c92b\overnight_refinement_2026-08-27\reports\125_13k_Mp1p25_Am2_Op0p00001_ise_report.json</x:v>
      </x:c>
    </x:row>
    <x:row r="127">
      <x:c r="A127" s="66" t="str">
        <x:v>126_13k_Mp1p25_Am2_Op0p0001_ise</x:v>
      </x:c>
      <x:c r="B127" s="66" t="str">
        <x:v>13k</x:v>
      </x:c>
      <x:c r="C127" s="66" t="n">
        <x:v>1.25</x:v>
      </x:c>
      <x:c r="D127" s="66" t="n">
        <x:v>-2</x:v>
      </x:c>
      <x:c r="E127" s="66" t="n">
        <x:v>0.0001</x:v>
      </x:c>
      <x:c r="F127" s="66" t="str">
        <x:v>isentropic</x:v>
      </x:c>
      <x:c r="G127" s="66" t="str">
        <x:v>FQRUP</x:v>
      </x:c>
      <x:c r="H127" s="66" t="str">
        <x:v>OK</x:v>
      </x:c>
      <x:c r="I127" s="66" t="n">
        <x:v>1</x:v>
      </x:c>
      <x:c r="J127" s="66" t="n">
        <x:v>0</x:v>
      </x:c>
      <x:c r="K127" s="66" t="n">
        <x:v>35.047</x:v>
      </x:c>
      <x:c r="L127" s="66" t="n">
        <x:v>0.0420416417105895</x:v>
      </x:c>
      <x:c r="M127" s="66" t="n">
        <x:v>-0.000218370419689516</x:v>
      </x:c>
      <x:c r="N127" s="66" t="n">
        <x:v>0.00784450049312981</x:v>
      </x:c>
      <x:c r="O127" s="66" t="n">
        <x:v>0.0417422619592938</x:v>
      </x:c>
      <x:c r="P127" s="66" t="n">
        <x:v>0.00930695397162715</x:v>
      </x:c>
      <x:c r="Q127" s="66" t="n">
        <x:v>6.58636076373514e-8</x:v>
      </x:c>
      <x:c r="R127" s="66" t="str">
        <x:v>C:\Users\admin\.codex\.chatgpt-projects\g-p-6910508be2a081919b9cb5881a96c92b\overnight_refinement_2026-08-27\reports\126_13k_Mp1p25_Am2_Op0p0001_ise_report.json</x:v>
      </x:c>
    </x:row>
    <x:row r="128">
      <x:c r="A128" s="66" t="str">
        <x:v>127_13k_Mp1p25_Ap0_Op0p00001_ise</x:v>
      </x:c>
      <x:c r="B128" s="66" t="str">
        <x:v>13k</x:v>
      </x:c>
      <x:c r="C128" s="66" t="n">
        <x:v>1.25</x:v>
      </x:c>
      <x:c r="D128" s="66" t="n">
        <x:v>0</x:v>
      </x:c>
      <x:c r="E128" s="66" t="n">
        <x:v>0.00001</x:v>
      </x:c>
      <x:c r="F128" s="66" t="str">
        <x:v>isentropic</x:v>
      </x:c>
      <x:c r="G128" s="66" t="str">
        <x:v>FQRUP</x:v>
      </x:c>
      <x:c r="H128" s="66" t="str">
        <x:v>OK</x:v>
      </x:c>
      <x:c r="I128" s="66" t="n">
        <x:v>1</x:v>
      </x:c>
      <x:c r="J128" s="66" t="n">
        <x:v>0</x:v>
      </x:c>
      <x:c r="K128" s="66" t="n">
        <x:v>35.11</x:v>
      </x:c>
      <x:c r="L128" s="66" t="n">
        <x:v>0.0449356184900993</x:v>
      </x:c>
      <x:c r="M128" s="66" t="n">
        <x:v>-0.0000589615764001252</x:v>
      </x:c>
      <x:c r="N128" s="66" t="n">
        <x:v>-0.000828852099268339</x:v>
      </x:c>
      <x:c r="O128" s="66" t="n">
        <x:v>0.0449356184900993</x:v>
      </x:c>
      <x:c r="P128" s="66" t="n">
        <x:v>-0.000828852099268339</x:v>
      </x:c>
      <x:c r="Q128" s="66" t="n">
        <x:v>6.84949316782687e-9</x:v>
      </x:c>
      <x:c r="R128" s="66" t="str">
        <x:v>C:\Users\admin\.codex\.chatgpt-projects\g-p-6910508be2a081919b9cb5881a96c92b\overnight_refinement_2026-08-27\reports\127_13k_Mp1p25_Ap0_Op0p00001_ise_report.json</x:v>
      </x:c>
    </x:row>
    <x:row r="129">
      <x:c r="A129" s="66" t="str">
        <x:v>128_13k_Mp1p25_Ap0_Op0p0001_ise</x:v>
      </x:c>
      <x:c r="B129" s="66" t="str">
        <x:v>13k</x:v>
      </x:c>
      <x:c r="C129" s="66" t="n">
        <x:v>1.25</x:v>
      </x:c>
      <x:c r="D129" s="66" t="n">
        <x:v>0</x:v>
      </x:c>
      <x:c r="E129" s="66" t="n">
        <x:v>0.0001</x:v>
      </x:c>
      <x:c r="F129" s="66" t="str">
        <x:v>isentropic</x:v>
      </x:c>
      <x:c r="G129" s="66" t="str">
        <x:v>FQRUP</x:v>
      </x:c>
      <x:c r="H129" s="66" t="str">
        <x:v>OK</x:v>
      </x:c>
      <x:c r="I129" s="66" t="n">
        <x:v>1</x:v>
      </x:c>
      <x:c r="J129" s="66" t="n">
        <x:v>0</x:v>
      </x:c>
      <x:c r="K129" s="66" t="n">
        <x:v>35.141</x:v>
      </x:c>
      <x:c r="L129" s="66" t="n">
        <x:v>0.0449332188240768</x:v>
      </x:c>
      <x:c r="M129" s="66" t="n">
        <x:v>-0.0000576371949279075</x:v>
      </x:c>
      <x:c r="N129" s="66" t="n">
        <x:v>-0.000817494324947047</x:v>
      </x:c>
      <x:c r="O129" s="66" t="n">
        <x:v>0.0449332188240768</x:v>
      </x:c>
      <x:c r="P129" s="66" t="n">
        <x:v>-0.000817494324947047</x:v>
      </x:c>
      <x:c r="Q129" s="66" t="n">
        <x:v>6.85737151193325e-8</x:v>
      </x:c>
      <x:c r="R129" s="66" t="str">
        <x:v>C:\Users\admin\.codex\.chatgpt-projects\g-p-6910508be2a081919b9cb5881a96c92b\overnight_refinement_2026-08-27\reports\128_13k_Mp1p25_Ap0_Op0p0001_ise_report.json</x:v>
      </x:c>
    </x:row>
    <x:row r="130">
      <x:c r="A130" s="66" t="str">
        <x:v>129_13k_Mp1p25_Ap2_Op0p00001_ise</x:v>
      </x:c>
      <x:c r="B130" s="66" t="str">
        <x:v>13k</x:v>
      </x:c>
      <x:c r="C130" s="66" t="n">
        <x:v>1.25</x:v>
      </x:c>
      <x:c r="D130" s="66" t="n">
        <x:v>2</x:v>
      </x:c>
      <x:c r="E130" s="66" t="n">
        <x:v>0.00001</x:v>
      </x:c>
      <x:c r="F130" s="66" t="str">
        <x:v>isentropic</x:v>
      </x:c>
      <x:c r="G130" s="66" t="str">
        <x:v>FQRUP</x:v>
      </x:c>
      <x:c r="H130" s="66" t="str">
        <x:v>OK</x:v>
      </x:c>
      <x:c r="I130" s="66" t="n">
        <x:v>1</x:v>
      </x:c>
      <x:c r="J130" s="66" t="n">
        <x:v>0</x:v>
      </x:c>
      <x:c r="K130" s="66" t="n">
        <x:v>35.046</x:v>
      </x:c>
      <x:c r="L130" s="66" t="n">
        <x:v>0.0430331314035078</x:v>
      </x:c>
      <x:c r="M130" s="66" t="n">
        <x:v>-0.000674408434360211</x:v>
      </x:c>
      <x:c r="N130" s="66" t="n">
        <x:v>-0.0095064569285003</x:v>
      </x:c>
      <x:c r="O130" s="66" t="n">
        <x:v>0.0426751462203444</x:v>
      </x:c>
      <x:c r="P130" s="66" t="n">
        <x:v>-0.0110025004793103</x:v>
      </x:c>
      <x:c r="Q130" s="66" t="n">
        <x:v>7.17741172335557e-9</x:v>
      </x:c>
      <x:c r="R130" s="66" t="str">
        <x:v>C:\Users\admin\.codex\.chatgpt-projects\g-p-6910508be2a081919b9cb5881a96c92b\overnight_refinement_2026-08-27\reports\129_13k_Mp1p25_Ap2_Op0p00001_ise_report.json</x:v>
      </x:c>
    </x:row>
    <x:row r="131">
      <x:c r="A131" s="66" t="str">
        <x:v>130_13k_Mp1p25_Ap2_Op0p0001_ise</x:v>
      </x:c>
      <x:c r="B131" s="66" t="str">
        <x:v>13k</x:v>
      </x:c>
      <x:c r="C131" s="66" t="n">
        <x:v>1.25</x:v>
      </x:c>
      <x:c r="D131" s="66" t="n">
        <x:v>2</x:v>
      </x:c>
      <x:c r="E131" s="66" t="n">
        <x:v>0.0001</x:v>
      </x:c>
      <x:c r="F131" s="66" t="str">
        <x:v>isentropic</x:v>
      </x:c>
      <x:c r="G131" s="66" t="str">
        <x:v>FQRUP</x:v>
      </x:c>
      <x:c r="H131" s="66" t="str">
        <x:v>OK</x:v>
      </x:c>
      <x:c r="I131" s="66" t="n">
        <x:v>1</x:v>
      </x:c>
      <x:c r="J131" s="66" t="n">
        <x:v>0</x:v>
      </x:c>
      <x:c r="K131" s="66" t="n">
        <x:v>34.75</x:v>
      </x:c>
      <x:c r="L131" s="66" t="n">
        <x:v>0.0430293268121645</x:v>
      </x:c>
      <x:c r="M131" s="66" t="n">
        <x:v>-0.000673510873098752</x:v>
      </x:c>
      <x:c r="N131" s="66" t="n">
        <x:v>-0.00947810669904551</x:v>
      </x:c>
      <x:c r="O131" s="66" t="n">
        <x:v>0.0426723333553947</x:v>
      </x:c>
      <x:c r="P131" s="66" t="n">
        <x:v>-0.0109740347417263</x:v>
      </x:c>
      <x:c r="Q131" s="66" t="n">
        <x:v>7.18255666112054e-8</x:v>
      </x:c>
      <x:c r="R131" s="66" t="str">
        <x:v>C:\Users\admin\.codex\.chatgpt-projects\g-p-6910508be2a081919b9cb5881a96c92b\overnight_refinement_2026-08-27\reports\130_13k_Mp1p25_Ap2_Op0p0001_ise_report.json</x:v>
      </x:c>
    </x:row>
    <x:row r="132">
      <x:c r="A132" s="66" t="str">
        <x:v>131_13k_Mp1p25_Ap4_Op0p00001_ise</x:v>
      </x:c>
      <x:c r="B132" s="66" t="str">
        <x:v>13k</x:v>
      </x:c>
      <x:c r="C132" s="66" t="n">
        <x:v>1.25</x:v>
      </x:c>
      <x:c r="D132" s="66" t="n">
        <x:v>4</x:v>
      </x:c>
      <x:c r="E132" s="66" t="n">
        <x:v>0.00001</x:v>
      </x:c>
      <x:c r="F132" s="66" t="str">
        <x:v>isentropic</x:v>
      </x:c>
      <x:c r="G132" s="66" t="str">
        <x:v>FQRUP</x:v>
      </x:c>
      <x:c r="H132" s="66" t="str">
        <x:v>OK</x:v>
      </x:c>
      <x:c r="I132" s="66" t="n">
        <x:v>1</x:v>
      </x:c>
      <x:c r="J132" s="66" t="n">
        <x:v>0</x:v>
      </x:c>
      <x:c r="K132" s="66" t="n">
        <x:v>34.546</x:v>
      </x:c>
      <x:c r="L132" s="66" t="n">
        <x:v>0.0350222086370368</x:v>
      </x:c>
      <x:c r="M132" s="66" t="n">
        <x:v>-0.00302407092472099</x:v>
      </x:c>
      <x:c r="N132" s="66" t="n">
        <x:v>0.0271760353005818</x:v>
      </x:c>
      <x:c r="O132" s="66" t="n">
        <x:v>0.0368326006899215</x:v>
      </x:c>
      <x:c r="P132" s="66" t="n">
        <x:v>0.0246668100672016</x:v>
      </x:c>
      <x:c r="Q132" s="66" t="n">
        <x:v>7.59505073546023e-9</x:v>
      </x:c>
      <x:c r="R132" s="66" t="str">
        <x:v>C:\Users\admin\.codex\.chatgpt-projects\g-p-6910508be2a081919b9cb5881a96c92b\overnight_refinement_2026-08-27\reports\131_13k_Mp1p25_Ap4_Op0p00001_ise_report.json</x:v>
      </x:c>
    </x:row>
    <x:row r="133">
      <x:c r="A133" s="66" t="str">
        <x:v>132_13k_Mp1p25_Ap4_Op0p0001_ise</x:v>
      </x:c>
      <x:c r="B133" s="66" t="str">
        <x:v>13k</x:v>
      </x:c>
      <x:c r="C133" s="66" t="n">
        <x:v>1.25</x:v>
      </x:c>
      <x:c r="D133" s="66" t="n">
        <x:v>4</x:v>
      </x:c>
      <x:c r="E133" s="66" t="n">
        <x:v>0.0001</x:v>
      </x:c>
      <x:c r="F133" s="66" t="str">
        <x:v>isentropic</x:v>
      </x:c>
      <x:c r="G133" s="66" t="str">
        <x:v>FQRUP</x:v>
      </x:c>
      <x:c r="H133" s="66" t="str">
        <x:v>OK</x:v>
      </x:c>
      <x:c r="I133" s="66" t="n">
        <x:v>1</x:v>
      </x:c>
      <x:c r="J133" s="66" t="n">
        <x:v>0</x:v>
      </x:c>
      <x:c r="K133" s="66" t="n">
        <x:v>34.718</x:v>
      </x:c>
      <x:c r="L133" s="66" t="n">
        <x:v>0.0350212005375742</x:v>
      </x:c>
      <x:c r="M133" s="66" t="n">
        <x:v>-0.00301674321222394</x:v>
      </x:c>
      <x:c r="N133" s="66" t="n">
        <x:v>0.027113658942849</x:v>
      </x:c>
      <x:c r="O133" s="66" t="n">
        <x:v>0.0368272438913781</x:v>
      </x:c>
      <x:c r="P133" s="66" t="n">
        <x:v>0.0246046559766049</x:v>
      </x:c>
      <x:c r="Q133" s="66" t="n">
        <x:v>7.59760821524138e-8</x:v>
      </x:c>
      <x:c r="R133" s="66" t="str">
        <x:v>C:\Users\admin\.codex\.chatgpt-projects\g-p-6910508be2a081919b9cb5881a96c92b\overnight_refinement_2026-08-27\reports\132_13k_Mp1p25_Ap4_Op0p0001_ise_report.json</x:v>
      </x:c>
    </x:row>
    <x:row r="134">
      <x:c r="A134" s="66" t="str">
        <x:v>133_13k_Mp1p3_Am4_Op0p00001_ise</x:v>
      </x:c>
      <x:c r="B134" s="66" t="str">
        <x:v>13k</x:v>
      </x:c>
      <x:c r="C134" s="66" t="n">
        <x:v>1.3</x:v>
      </x:c>
      <x:c r="D134" s="66" t="n">
        <x:v>-4</x:v>
      </x:c>
      <x:c r="E134" s="66" t="n">
        <x:v>0.00001</x:v>
      </x:c>
      <x:c r="F134" s="66" t="str">
        <x:v>isentropic</x:v>
      </x:c>
      <x:c r="G134" s="66" t="str">
        <x:v>FQRUP</x:v>
      </x:c>
      <x:c r="H134" s="66" t="str">
        <x:v>OK</x:v>
      </x:c>
      <x:c r="I134" s="66" t="n">
        <x:v>1</x:v>
      </x:c>
      <x:c r="J134" s="66" t="n">
        <x:v>0</x:v>
      </x:c>
      <x:c r="K134" s="66" t="n">
        <x:v>32.797</x:v>
      </x:c>
      <x:c r="L134" s="66" t="n">
        <x:v>0.0334289691087936</x:v>
      </x:c>
      <x:c r="M134" s="66" t="n">
        <x:v>-0.00361319536922692</x:v>
      </x:c>
      <x:c r="N134" s="66" t="n">
        <x:v>0.00301445635407627</x:v>
      </x:c>
      <x:c r="O134" s="66" t="n">
        <x:v>0.0331372599746628</x:v>
      </x:c>
      <x:c r="P134" s="66" t="n">
        <x:v>0.00533900029583452</x:v>
      </x:c>
      <x:c r="Q134" s="66" t="n">
        <x:v>6.22710282459633e-9</x:v>
      </x:c>
      <x:c r="R134" s="66" t="str">
        <x:v>C:\Users\admin\.codex\.chatgpt-projects\g-p-6910508be2a081919b9cb5881a96c92b\overnight_refinement_2026-08-27\reports\133_13k_Mp1p3_Am4_Op0p00001_ise_report.json</x:v>
      </x:c>
    </x:row>
    <x:row r="135">
      <x:c r="A135" s="66" t="str">
        <x:v>134_13k_Mp1p3_Am4_Op0p0001_ise</x:v>
      </x:c>
      <x:c r="B135" s="66" t="str">
        <x:v>13k</x:v>
      </x:c>
      <x:c r="C135" s="66" t="n">
        <x:v>1.3</x:v>
      </x:c>
      <x:c r="D135" s="66" t="n">
        <x:v>-4</x:v>
      </x:c>
      <x:c r="E135" s="66" t="n">
        <x:v>0.0001</x:v>
      </x:c>
      <x:c r="F135" s="66" t="str">
        <x:v>isentropic</x:v>
      </x:c>
      <x:c r="G135" s="66" t="str">
        <x:v>FQRUP</x:v>
      </x:c>
      <x:c r="H135" s="66" t="str">
        <x:v>OK</x:v>
      </x:c>
      <x:c r="I135" s="66" t="n">
        <x:v>1</x:v>
      </x:c>
      <x:c r="J135" s="66" t="n">
        <x:v>0</x:v>
      </x:c>
      <x:c r="K135" s="66" t="n">
        <x:v>32.922</x:v>
      </x:c>
      <x:c r="L135" s="66" t="n">
        <x:v>0.0334345601532969</x:v>
      </x:c>
      <x:c r="M135" s="66" t="n">
        <x:v>-0.0036120683063647</x:v>
      </x:c>
      <x:c r="N135" s="66" t="n">
        <x:v>0.00299613221128088</x:v>
      </x:c>
      <x:c r="O135" s="66" t="n">
        <x:v>0.0331441156272484</x:v>
      </x:c>
      <x:c r="P135" s="66" t="n">
        <x:v>0.00532111080127911</x:v>
      </x:c>
      <x:c r="Q135" s="66" t="n">
        <x:v>6.24473790531366e-8</x:v>
      </x:c>
      <x:c r="R135" s="66" t="str">
        <x:v>C:\Users\admin\.codex\.chatgpt-projects\g-p-6910508be2a081919b9cb5881a96c92b\overnight_refinement_2026-08-27\reports\134_13k_Mp1p3_Am4_Op0p0001_ise_report.json</x:v>
      </x:c>
    </x:row>
    <x:row r="136">
      <x:c r="A136" s="66" t="str">
        <x:v>135_13k_Mp1p3_Am2_Op0p00001_ise</x:v>
      </x:c>
      <x:c r="B136" s="66" t="str">
        <x:v>13k</x:v>
      </x:c>
      <x:c r="C136" s="66" t="n">
        <x:v>1.3</x:v>
      </x:c>
      <x:c r="D136" s="66" t="n">
        <x:v>-2</x:v>
      </x:c>
      <x:c r="E136" s="66" t="n">
        <x:v>0.00001</x:v>
      </x:c>
      <x:c r="F136" s="66" t="str">
        <x:v>isentropic</x:v>
      </x:c>
      <x:c r="G136" s="66" t="str">
        <x:v>FQRUP</x:v>
      </x:c>
      <x:c r="H136" s="66" t="str">
        <x:v>OK</x:v>
      </x:c>
      <x:c r="I136" s="66" t="n">
        <x:v>1</x:v>
      </x:c>
      <x:c r="J136" s="66" t="n">
        <x:v>0</x:v>
      </x:c>
      <x:c r="K136" s="66" t="n">
        <x:v>32.36</x:v>
      </x:c>
      <x:c r="L136" s="66" t="n">
        <x:v>0.0390046203019249</x:v>
      </x:c>
      <x:c r="M136" s="66" t="n">
        <x:v>-0.00109808887465715</x:v>
      </x:c>
      <x:c r="N136" s="66" t="n">
        <x:v>0.00837359097963988</x:v>
      </x:c>
      <x:c r="O136" s="66" t="n">
        <x:v>0.0386886256303245</x:v>
      </x:c>
      <x:c r="P136" s="66" t="n">
        <x:v>0.00972973163187127</x:v>
      </x:c>
      <x:c r="Q136" s="66" t="n">
        <x:v>6.52253533424068e-9</x:v>
      </x:c>
      <x:c r="R136" s="66" t="str">
        <x:v>C:\Users\admin\.codex\.chatgpt-projects\g-p-6910508be2a081919b9cb5881a96c92b\overnight_refinement_2026-08-27\reports\135_13k_Mp1p3_Am2_Op0p00001_ise_report.json</x:v>
      </x:c>
    </x:row>
    <x:row r="137">
      <x:c r="A137" s="66" t="str">
        <x:v>136_13k_Mp1p3_Am2_Op0p0001_ise</x:v>
      </x:c>
      <x:c r="B137" s="66" t="str">
        <x:v>13k</x:v>
      </x:c>
      <x:c r="C137" s="66" t="n">
        <x:v>1.3</x:v>
      </x:c>
      <x:c r="D137" s="66" t="n">
        <x:v>-2</x:v>
      </x:c>
      <x:c r="E137" s="66" t="n">
        <x:v>0.0001</x:v>
      </x:c>
      <x:c r="F137" s="66" t="str">
        <x:v>isentropic</x:v>
      </x:c>
      <x:c r="G137" s="66" t="str">
        <x:v>FQRUP</x:v>
      </x:c>
      <x:c r="H137" s="66" t="str">
        <x:v>OK</x:v>
      </x:c>
      <x:c r="I137" s="66" t="n">
        <x:v>1</x:v>
      </x:c>
      <x:c r="J137" s="66" t="n">
        <x:v>0</x:v>
      </x:c>
      <x:c r="K137" s="66" t="n">
        <x:v>32.219</x:v>
      </x:c>
      <x:c r="L137" s="66" t="n">
        <x:v>0.0390199207763571</x:v>
      </x:c>
      <x:c r="M137" s="66" t="n">
        <x:v>-0.00109240708222382</x:v>
      </x:c>
      <x:c r="N137" s="66" t="n">
        <x:v>0.00835264760799976</x:v>
      </x:c>
      <x:c r="O137" s="66" t="n">
        <x:v>0.0387046476972506</x:v>
      </x:c>
      <x:c r="P137" s="66" t="n">
        <x:v>0.00970933499722428</x:v>
      </x:c>
      <x:c r="Q137" s="66" t="n">
        <x:v>6.53928728710396e-8</x:v>
      </x:c>
      <x:c r="R137" s="66" t="str">
        <x:v>C:\Users\admin\.codex\.chatgpt-projects\g-p-6910508be2a081919b9cb5881a96c92b\overnight_refinement_2026-08-27\reports\136_13k_Mp1p3_Am2_Op0p0001_ise_report.json</x:v>
      </x:c>
    </x:row>
    <x:row r="138">
      <x:c r="A138" s="66" t="str">
        <x:v>137_13k_Mp1p3_Ap0_Op0p00001_ise</x:v>
      </x:c>
      <x:c r="B138" s="66" t="str">
        <x:v>13k</x:v>
      </x:c>
      <x:c r="C138" s="66" t="n">
        <x:v>1.3</x:v>
      </x:c>
      <x:c r="D138" s="66" t="n">
        <x:v>0</x:v>
      </x:c>
      <x:c r="E138" s="66" t="n">
        <x:v>0.00001</x:v>
      </x:c>
      <x:c r="F138" s="66" t="str">
        <x:v>isentropic</x:v>
      </x:c>
      <x:c r="G138" s="66" t="str">
        <x:v>FQRUP</x:v>
      </x:c>
      <x:c r="H138" s="66" t="str">
        <x:v>OK</x:v>
      </x:c>
      <x:c r="I138" s="66" t="n">
        <x:v>1</x:v>
      </x:c>
      <x:c r="J138" s="66" t="n">
        <x:v>0</x:v>
      </x:c>
      <x:c r="K138" s="66" t="n">
        <x:v>32</x:v>
      </x:c>
      <x:c r="L138" s="66" t="n">
        <x:v>0.0400284932607901</x:v>
      </x:c>
      <x:c r="M138" s="66" t="n">
        <x:v>0.0000795326081243616</x:v>
      </x:c>
      <x:c r="N138" s="66" t="n">
        <x:v>-0.00547693760136607</x:v>
      </x:c>
      <x:c r="O138" s="66" t="n">
        <x:v>0.0400284932607901</x:v>
      </x:c>
      <x:c r="P138" s="66" t="n">
        <x:v>-0.00547693760136607</x:v>
      </x:c>
      <x:c r="Q138" s="66" t="n">
        <x:v>6.86294740135344e-9</x:v>
      </x:c>
      <x:c r="R138" s="66" t="str">
        <x:v>C:\Users\admin\.codex\.chatgpt-projects\g-p-6910508be2a081919b9cb5881a96c92b\overnight_refinement_2026-08-27\reports\137_13k_Mp1p3_Ap0_Op0p00001_ise_report.json</x:v>
      </x:c>
    </x:row>
    <x:row r="139">
      <x:c r="A139" s="66" t="str">
        <x:v>138_13k_Mp1p3_Ap0_Op0p0001_ise</x:v>
      </x:c>
      <x:c r="B139" s="66" t="str">
        <x:v>13k</x:v>
      </x:c>
      <x:c r="C139" s="66" t="n">
        <x:v>1.3</x:v>
      </x:c>
      <x:c r="D139" s="66" t="n">
        <x:v>0</x:v>
      </x:c>
      <x:c r="E139" s="66" t="n">
        <x:v>0.0001</x:v>
      </x:c>
      <x:c r="F139" s="66" t="str">
        <x:v>isentropic</x:v>
      </x:c>
      <x:c r="G139" s="66" t="str">
        <x:v>FQRUP</x:v>
      </x:c>
      <x:c r="H139" s="66" t="str">
        <x:v>OK</x:v>
      </x:c>
      <x:c r="I139" s="66" t="n">
        <x:v>1</x:v>
      </x:c>
      <x:c r="J139" s="66" t="n">
        <x:v>0</x:v>
      </x:c>
      <x:c r="K139" s="66" t="n">
        <x:v>32.047</x:v>
      </x:c>
      <x:c r="L139" s="66" t="n">
        <x:v>0.0400389664585998</x:v>
      </x:c>
      <x:c r="M139" s="66" t="n">
        <x:v>0.0000842686292064525</x:v>
      </x:c>
      <x:c r="N139" s="66" t="n">
        <x:v>-0.00546774775991152</x:v>
      </x:c>
      <x:c r="O139" s="66" t="n">
        <x:v>0.0400389664585998</x:v>
      </x:c>
      <x:c r="P139" s="66" t="n">
        <x:v>-0.00546774775991152</x:v>
      </x:c>
      <x:c r="Q139" s="66" t="n">
        <x:v>6.87720599290172e-8</x:v>
      </x:c>
      <x:c r="R139" s="66" t="str">
        <x:v>C:\Users\admin\.codex\.chatgpt-projects\g-p-6910508be2a081919b9cb5881a96c92b\overnight_refinement_2026-08-27\reports\138_13k_Mp1p3_Ap0_Op0p0001_ise_report.json</x:v>
      </x:c>
    </x:row>
    <x:row r="140">
      <x:c r="A140" s="66" t="str">
        <x:v>139_13k_Mp1p3_Ap2_Op0p00001_ise</x:v>
      </x:c>
      <x:c r="B140" s="66" t="str">
        <x:v>13k</x:v>
      </x:c>
      <x:c r="C140" s="66" t="n">
        <x:v>1.3</x:v>
      </x:c>
      <x:c r="D140" s="66" t="n">
        <x:v>2</x:v>
      </x:c>
      <x:c r="E140" s="66" t="n">
        <x:v>0.00001</x:v>
      </x:c>
      <x:c r="F140" s="66" t="str">
        <x:v>isentropic</x:v>
      </x:c>
      <x:c r="G140" s="66" t="str">
        <x:v>FQRUP</x:v>
      </x:c>
      <x:c r="H140" s="66" t="str">
        <x:v>OK</x:v>
      </x:c>
      <x:c r="I140" s="66" t="n">
        <x:v>1</x:v>
      </x:c>
      <x:c r="J140" s="66" t="n">
        <x:v>0</x:v>
      </x:c>
      <x:c r="K140" s="66" t="n">
        <x:v>32.25</x:v>
      </x:c>
      <x:c r="L140" s="66" t="n">
        <x:v>0.0364748102675918</x:v>
      </x:c>
      <x:c r="M140" s="66" t="n">
        <x:v>-0.000291552744087956</x:v>
      </x:c>
      <x:c r="N140" s="66" t="n">
        <x:v>-0.0177488324573501</x:v>
      </x:c>
      <x:c r="O140" s="66" t="n">
        <x:v>0.0358331654788746</x:v>
      </x:c>
      <x:c r="P140" s="66" t="n">
        <x:v>-0.0190109728688327</x:v>
      </x:c>
      <x:c r="Q140" s="66" t="n">
        <x:v>7.26283746726078e-9</x:v>
      </x:c>
      <x:c r="R140" s="66" t="str">
        <x:v>C:\Users\admin\.codex\.chatgpt-projects\g-p-6910508be2a081919b9cb5881a96c92b\overnight_refinement_2026-08-27\reports\139_13k_Mp1p3_Ap2_Op0p00001_ise_report.json</x:v>
      </x:c>
    </x:row>
    <x:row r="141">
      <x:c r="A141" s="66" t="str">
        <x:v>140_13k_Mp1p3_Ap2_Op0p0001_ise</x:v>
      </x:c>
      <x:c r="B141" s="66" t="str">
        <x:v>13k</x:v>
      </x:c>
      <x:c r="C141" s="66" t="n">
        <x:v>1.3</x:v>
      </x:c>
      <x:c r="D141" s="66" t="n">
        <x:v>2</x:v>
      </x:c>
      <x:c r="E141" s="66" t="n">
        <x:v>0.0001</x:v>
      </x:c>
      <x:c r="F141" s="66" t="str">
        <x:v>isentropic</x:v>
      </x:c>
      <x:c r="G141" s="66" t="str">
        <x:v>FQRUP</x:v>
      </x:c>
      <x:c r="H141" s="66" t="str">
        <x:v>OK</x:v>
      </x:c>
      <x:c r="I141" s="66" t="n">
        <x:v>1</x:v>
      </x:c>
      <x:c r="J141" s="66" t="n">
        <x:v>0</x:v>
      </x:c>
      <x:c r="K141" s="66" t="n">
        <x:v>32.297</x:v>
      </x:c>
      <x:c r="L141" s="66" t="n">
        <x:v>0.0364771516233385</x:v>
      </x:c>
      <x:c r="M141" s="66" t="n">
        <x:v>-0.00028893757950519</x:v>
      </x:c>
      <x:c r="N141" s="66" t="n">
        <x:v>-0.0177098040525866</x:v>
      </x:c>
      <x:c r="O141" s="66" t="n">
        <x:v>0.035836867480014</x:v>
      </x:c>
      <x:c r="P141" s="66" t="n">
        <x:v>-0.018972049951256</x:v>
      </x:c>
      <x:c r="Q141" s="66" t="n">
        <x:v>7.27413589720942e-8</x:v>
      </x:c>
      <x:c r="R141" s="66" t="str">
        <x:v>C:\Users\admin\.codex\.chatgpt-projects\g-p-6910508be2a081919b9cb5881a96c92b\overnight_refinement_2026-08-27\reports\140_13k_Mp1p3_Ap2_Op0p0001_ise_report.json</x:v>
      </x:c>
    </x:row>
    <x:row r="142">
      <x:c r="A142" s="66" t="str">
        <x:v>141_13k_Mp1p3_Ap4_Op0p00001_ise</x:v>
      </x:c>
      <x:c r="B142" s="66" t="str">
        <x:v>13k</x:v>
      </x:c>
      <x:c r="C142" s="66" t="n">
        <x:v>1.3</x:v>
      </x:c>
      <x:c r="D142" s="66" t="n">
        <x:v>4</x:v>
      </x:c>
      <x:c r="E142" s="66" t="n">
        <x:v>0.00001</x:v>
      </x:c>
      <x:c r="F142" s="66" t="str">
        <x:v>isentropic</x:v>
      </x:c>
      <x:c r="G142" s="66" t="str">
        <x:v>FQRUP</x:v>
      </x:c>
      <x:c r="H142" s="66" t="str">
        <x:v>OK</x:v>
      </x:c>
      <x:c r="I142" s="66" t="n">
        <x:v>1</x:v>
      </x:c>
      <x:c r="J142" s="66" t="n">
        <x:v>0</x:v>
      </x:c>
      <x:c r="K142" s="66" t="n">
        <x:v>32.203</x:v>
      </x:c>
      <x:c r="L142" s="66" t="n">
        <x:v>0.0300227972942259</x:v>
      </x:c>
      <x:c r="M142" s="66" t="n">
        <x:v>-0.000231352894651807</x:v>
      </x:c>
      <x:c r="N142" s="66" t="n">
        <x:v>0.0190586028509142</x:v>
      </x:c>
      <x:c r="O142" s="66" t="n">
        <x:v>0.0312791241983272</x:v>
      </x:c>
      <x:c r="P142" s="66" t="n">
        <x:v>0.0169178925810715</x:v>
      </x:c>
      <x:c r="Q142" s="66" t="n">
        <x:v>7.73926859336203e-9</x:v>
      </x:c>
      <x:c r="R142" s="66" t="str">
        <x:v>C:\Users\admin\.codex\.chatgpt-projects\g-p-6910508be2a081919b9cb5881a96c92b\overnight_refinement_2026-08-27\reports\141_13k_Mp1p3_Ap4_Op0p00001_ise_report.json</x:v>
      </x:c>
    </x:row>
    <x:row r="143">
      <x:c r="A143" s="66" t="str">
        <x:v>142_13k_Mp1p3_Ap4_Op0p0001_ise</x:v>
      </x:c>
      <x:c r="B143" s="66" t="str">
        <x:v>13k</x:v>
      </x:c>
      <x:c r="C143" s="66" t="n">
        <x:v>1.3</x:v>
      </x:c>
      <x:c r="D143" s="66" t="n">
        <x:v>4</x:v>
      </x:c>
      <x:c r="E143" s="66" t="n">
        <x:v>0.0001</x:v>
      </x:c>
      <x:c r="F143" s="66" t="str">
        <x:v>isentropic</x:v>
      </x:c>
      <x:c r="G143" s="66" t="str">
        <x:v>FQRUP</x:v>
      </x:c>
      <x:c r="H143" s="66" t="str">
        <x:v>OK</x:v>
      </x:c>
      <x:c r="I143" s="66" t="n">
        <x:v>1</x:v>
      </x:c>
      <x:c r="J143" s="66" t="n">
        <x:v>0</x:v>
      </x:c>
      <x:c r="K143" s="66" t="n">
        <x:v>32.125</x:v>
      </x:c>
      <x:c r="L143" s="66" t="n">
        <x:v>0.03001825007889</x:v>
      </x:c>
      <x:c r="M143" s="66" t="n">
        <x:v>-0.000222778542505531</x:v>
      </x:c>
      <x:c r="N143" s="66" t="n">
        <x:v>0.0190962612797136</x:v>
      </x:c>
      <x:c r="O143" s="66" t="n">
        <x:v>0.0312772149789791</x:v>
      </x:c>
      <x:c r="P143" s="66" t="n">
        <x:v>0.0169557764735383</x:v>
      </x:c>
      <x:c r="Q143" s="66" t="n">
        <x:v>7.7477560449828e-8</x:v>
      </x:c>
      <x:c r="R143" s="66" t="str">
        <x:v>C:\Users\admin\.codex\.chatgpt-projects\g-p-6910508be2a081919b9cb5881a96c92b\overnight_refinement_2026-08-27\reports\142_13k_Mp1p3_Ap4_Op0p0001_ise_report.json</x:v>
      </x:c>
    </x:row>
    <x:row r="144">
      <x:c r="A144" s="66" t="str">
        <x:v>143_13k_Mp1p35_Am4_Op0p00001_ise</x:v>
      </x:c>
      <x:c r="B144" s="66" t="str">
        <x:v>13k</x:v>
      </x:c>
      <x:c r="C144" s="66" t="n">
        <x:v>1.35</x:v>
      </x:c>
      <x:c r="D144" s="66" t="n">
        <x:v>-4</x:v>
      </x:c>
      <x:c r="E144" s="66" t="n">
        <x:v>0.00001</x:v>
      </x:c>
      <x:c r="F144" s="66" t="str">
        <x:v>isentropic</x:v>
      </x:c>
      <x:c r="G144" s="66" t="str">
        <x:v>FQRUP</x:v>
      </x:c>
      <x:c r="H144" s="66" t="str">
        <x:v>OK</x:v>
      </x:c>
      <x:c r="I144" s="66" t="n">
        <x:v>1</x:v>
      </x:c>
      <x:c r="J144" s="66" t="n">
        <x:v>0</x:v>
      </x:c>
      <x:c r="K144" s="66" t="n">
        <x:v>30.094</x:v>
      </x:c>
      <x:c r="L144" s="66" t="n">
        <x:v>0.0225754871919958</x:v>
      </x:c>
      <x:c r="M144" s="66" t="n">
        <x:v>-0.0000118110303239107</x:v>
      </x:c>
      <x:c r="N144" s="66" t="n">
        <x:v>0.0171856165931962</x:v>
      </x:c>
      <x:c r="O144" s="66" t="n">
        <x:v>0.0213216864271762</x:v>
      </x:c>
      <x:c r="P144" s="66" t="n">
        <x:v>0.0187185396744905</x:v>
      </x:c>
      <x:c r="Q144" s="66" t="n">
        <x:v>5.95701805310747e-9</x:v>
      </x:c>
      <x:c r="R144" s="66" t="str">
        <x:v>C:\Users\admin\.codex\.chatgpt-projects\g-p-6910508be2a081919b9cb5881a96c92b\overnight_refinement_2026-08-27\reports\143_13k_Mp1p35_Am4_Op0p00001_ise_report.json</x:v>
      </x:c>
    </x:row>
    <x:row r="145">
      <x:c r="A145" s="66" t="str">
        <x:v>144_13k_Mp1p35_Am4_Op0p0001_ise</x:v>
      </x:c>
      <x:c r="B145" s="66" t="str">
        <x:v>13k</x:v>
      </x:c>
      <x:c r="C145" s="66" t="n">
        <x:v>1.35</x:v>
      </x:c>
      <x:c r="D145" s="66" t="n">
        <x:v>-4</x:v>
      </x:c>
      <x:c r="E145" s="66" t="n">
        <x:v>0.0001</x:v>
      </x:c>
      <x:c r="F145" s="66" t="str">
        <x:v>isentropic</x:v>
      </x:c>
      <x:c r="G145" s="66" t="str">
        <x:v>FQRUP</x:v>
      </x:c>
      <x:c r="H145" s="66" t="str">
        <x:v>OK</x:v>
      </x:c>
      <x:c r="I145" s="66" t="n">
        <x:v>1</x:v>
      </x:c>
      <x:c r="J145" s="66" t="n">
        <x:v>0</x:v>
      </x:c>
      <x:c r="K145" s="66" t="n">
        <x:v>30.25</x:v>
      </x:c>
      <x:c r="L145" s="66" t="n">
        <x:v>0.0226108406806698</x:v>
      </x:c>
      <x:c r="M145" s="66" t="n">
        <x:v>-0.0000152474140994237</x:v>
      </x:c>
      <x:c r="N145" s="66" t="n">
        <x:v>0.0172104841314288</x:v>
      </x:c>
      <x:c r="O145" s="66" t="n">
        <x:v>0.0213552191247509</x:v>
      </x:c>
      <x:c r="P145" s="66" t="n">
        <x:v>0.0187458127713543</x:v>
      </x:c>
      <x:c r="Q145" s="66" t="n">
        <x:v>5.97933810098859e-8</x:v>
      </x:c>
      <x:c r="R145" s="66" t="str">
        <x:v>C:\Users\admin\.codex\.chatgpt-projects\g-p-6910508be2a081919b9cb5881a96c92b\overnight_refinement_2026-08-27\reports\144_13k_Mp1p35_Am4_Op0p0001_ise_report.json</x:v>
      </x:c>
    </x:row>
    <x:row r="146">
      <x:c r="A146" s="66" t="str">
        <x:v>145_13k_Mp1p35_Am2_Op0p00001_ise</x:v>
      </x:c>
      <x:c r="B146" s="66" t="str">
        <x:v>13k</x:v>
      </x:c>
      <x:c r="C146" s="66" t="n">
        <x:v>1.35</x:v>
      </x:c>
      <x:c r="D146" s="66" t="n">
        <x:v>-2</x:v>
      </x:c>
      <x:c r="E146" s="66" t="n">
        <x:v>0.00001</x:v>
      </x:c>
      <x:c r="F146" s="66" t="str">
        <x:v>isentropic</x:v>
      </x:c>
      <x:c r="G146" s="66" t="str">
        <x:v>FQRUP</x:v>
      </x:c>
      <x:c r="H146" s="66" t="str">
        <x:v>OK</x:v>
      </x:c>
      <x:c r="I146" s="66" t="n">
        <x:v>1</x:v>
      </x:c>
      <x:c r="J146" s="66" t="n">
        <x:v>0</x:v>
      </x:c>
      <x:c r="K146" s="66" t="n">
        <x:v>30.829</x:v>
      </x:c>
      <x:c r="L146" s="66" t="n">
        <x:v>0.0243352522156928</x:v>
      </x:c>
      <x:c r="M146" s="66" t="n">
        <x:v>0.00000447144512827643</x:v>
      </x:c>
      <x:c r="N146" s="66" t="n">
        <x:v>0.0112727156760206</x:v>
      </x:c>
      <x:c r="O146" s="66" t="n">
        <x:v>0.023927015733996</x:v>
      </x:c>
      <x:c r="P146" s="66" t="n">
        <x:v>0.0121151366966655</x:v>
      </x:c>
      <x:c r="Q146" s="66" t="n">
        <x:v>6.24621689002521e-9</x:v>
      </x:c>
      <x:c r="R146" s="66" t="str">
        <x:v>C:\Users\admin\.codex\.chatgpt-projects\g-p-6910508be2a081919b9cb5881a96c92b\overnight_refinement_2026-08-27\reports\145_13k_Mp1p35_Am2_Op0p00001_ise_report.json</x:v>
      </x:c>
    </x:row>
    <x:row r="147">
      <x:c r="A147" s="66" t="str">
        <x:v>146_13k_Mp1p35_Am2_Op0p0001_ise</x:v>
      </x:c>
      <x:c r="B147" s="66" t="str">
        <x:v>13k</x:v>
      </x:c>
      <x:c r="C147" s="66" t="n">
        <x:v>1.35</x:v>
      </x:c>
      <x:c r="D147" s="66" t="n">
        <x:v>-2</x:v>
      </x:c>
      <x:c r="E147" s="66" t="n">
        <x:v>0.0001</x:v>
      </x:c>
      <x:c r="F147" s="66" t="str">
        <x:v>isentropic</x:v>
      </x:c>
      <x:c r="G147" s="66" t="str">
        <x:v>FQRUP</x:v>
      </x:c>
      <x:c r="H147" s="66" t="str">
        <x:v>OK</x:v>
      </x:c>
      <x:c r="I147" s="66" t="n">
        <x:v>1</x:v>
      </x:c>
      <x:c r="J147" s="66" t="n">
        <x:v>0</x:v>
      </x:c>
      <x:c r="K147" s="66" t="n">
        <x:v>30.734</x:v>
      </x:c>
      <x:c r="L147" s="66" t="n">
        <x:v>0.0243699563342384</x:v>
      </x:c>
      <x:c r="M147" s="66" t="n">
        <x:v>0.00000643303096136603</x:v>
      </x:c>
      <x:c r="N147" s="66" t="n">
        <x:v>0.0112966004418393</x:v>
      </x:c>
      <x:c r="O147" s="66" t="n">
        <x:v>0.0239608651454243</x:v>
      </x:c>
      <x:c r="P147" s="66" t="n">
        <x:v>0.0121402180688009</x:v>
      </x:c>
      <x:c r="Q147" s="66" t="n">
        <x:v>6.26846452648569e-8</x:v>
      </x:c>
      <x:c r="R147" s="66" t="str">
        <x:v>C:\Users\admin\.codex\.chatgpt-projects\g-p-6910508be2a081919b9cb5881a96c92b\overnight_refinement_2026-08-27\reports\146_13k_Mp1p35_Am2_Op0p0001_ise_report.json</x:v>
      </x:c>
    </x:row>
    <x:row r="148">
      <x:c r="A148" s="66" t="str">
        <x:v>147_13k_Mp1p35_Ap0_Op0p00001_ise</x:v>
      </x:c>
      <x:c r="B148" s="66" t="str">
        <x:v>13k</x:v>
      </x:c>
      <x:c r="C148" s="66" t="n">
        <x:v>1.35</x:v>
      </x:c>
      <x:c r="D148" s="66" t="n">
        <x:v>0</x:v>
      </x:c>
      <x:c r="E148" s="66" t="n">
        <x:v>0.00001</x:v>
      </x:c>
      <x:c r="F148" s="66" t="str">
        <x:v>isentropic</x:v>
      </x:c>
      <x:c r="G148" s="66" t="str">
        <x:v>FQRUP</x:v>
      </x:c>
      <x:c r="H148" s="66" t="str">
        <x:v>OK</x:v>
      </x:c>
      <x:c r="I148" s="66" t="n">
        <x:v>1</x:v>
      </x:c>
      <x:c r="J148" s="66" t="n">
        <x:v>0</x:v>
      </x:c>
      <x:c r="K148" s="66" t="n">
        <x:v>30.422</x:v>
      </x:c>
      <x:c r="L148" s="66" t="n">
        <x:v>0.0235156397330222</x:v>
      </x:c>
      <x:c r="M148" s="66" t="n">
        <x:v>0.000221719087196328</x:v>
      </x:c>
      <x:c r="N148" s="66" t="n">
        <x:v>-0.0160151159586359</x:v>
      </x:c>
      <x:c r="O148" s="66" t="n">
        <x:v>0.0235156397330222</x:v>
      </x:c>
      <x:c r="P148" s="66" t="n">
        <x:v>-0.0160151159586359</x:v>
      </x:c>
      <x:c r="Q148" s="66" t="n">
        <x:v>6.67490427932862e-9</x:v>
      </x:c>
      <x:c r="R148" s="66" t="str">
        <x:v>C:\Users\admin\.codex\.chatgpt-projects\g-p-6910508be2a081919b9cb5881a96c92b\overnight_refinement_2026-08-27\reports\147_13k_Mp1p35_Ap0_Op0p00001_ise_report.json</x:v>
      </x:c>
    </x:row>
    <x:row r="149">
      <x:c r="A149" s="66" t="str">
        <x:v>148_13k_Mp1p35_Ap0_Op0p0001_ise</x:v>
      </x:c>
      <x:c r="B149" s="66" t="str">
        <x:v>13k</x:v>
      </x:c>
      <x:c r="C149" s="66" t="n">
        <x:v>1.35</x:v>
      </x:c>
      <x:c r="D149" s="66" t="n">
        <x:v>0</x:v>
      </x:c>
      <x:c r="E149" s="66" t="n">
        <x:v>0.0001</x:v>
      </x:c>
      <x:c r="F149" s="66" t="str">
        <x:v>isentropic</x:v>
      </x:c>
      <x:c r="G149" s="66" t="str">
        <x:v>FQRUP</x:v>
      </x:c>
      <x:c r="H149" s="66" t="str">
        <x:v>OK</x:v>
      </x:c>
      <x:c r="I149" s="66" t="n">
        <x:v>1</x:v>
      </x:c>
      <x:c r="J149" s="66" t="n">
        <x:v>0</x:v>
      </x:c>
      <x:c r="K149" s="66" t="n">
        <x:v>30.156</x:v>
      </x:c>
      <x:c r="L149" s="66" t="n">
        <x:v>0.0235520816220908</x:v>
      </x:c>
      <x:c r="M149" s="66" t="n">
        <x:v>0.000223773166968524</x:v>
      </x:c>
      <x:c r="N149" s="66" t="n">
        <x:v>-0.0160049542966757</x:v>
      </x:c>
      <x:c r="O149" s="66" t="n">
        <x:v>0.0235520816220908</x:v>
      </x:c>
      <x:c r="P149" s="66" t="n">
        <x:v>-0.0160049542966757</x:v>
      </x:c>
      <x:c r="Q149" s="66" t="n">
        <x:v>6.69611365919928e-8</x:v>
      </x:c>
      <x:c r="R149" s="66" t="str">
        <x:v>C:\Users\admin\.codex\.chatgpt-projects\g-p-6910508be2a081919b9cb5881a96c92b\overnight_refinement_2026-08-27\reports\148_13k_Mp1p35_Ap0_Op0p0001_ise_report.json</x:v>
      </x:c>
    </x:row>
    <x:row r="150">
      <x:c r="A150" s="66" t="str">
        <x:v>149_13k_Mp1p35_Ap2_Op0p00001_ise</x:v>
      </x:c>
      <x:c r="B150" s="66" t="str">
        <x:v>13k</x:v>
      </x:c>
      <x:c r="C150" s="66" t="n">
        <x:v>1.35</x:v>
      </x:c>
      <x:c r="D150" s="66" t="n">
        <x:v>2</x:v>
      </x:c>
      <x:c r="E150" s="66" t="n">
        <x:v>0.00001</x:v>
      </x:c>
      <x:c r="F150" s="66" t="str">
        <x:v>isentropic</x:v>
      </x:c>
      <x:c r="G150" s="66" t="str">
        <x:v>FQRUP</x:v>
      </x:c>
      <x:c r="H150" s="66" t="str">
        <x:v>OK</x:v>
      </x:c>
      <x:c r="I150" s="66" t="n">
        <x:v>1</x:v>
      </x:c>
      <x:c r="J150" s="66" t="n">
        <x:v>0</x:v>
      </x:c>
      <x:c r="K150" s="66" t="n">
        <x:v>30.328</x:v>
      </x:c>
      <x:c r="L150" s="66" t="n">
        <x:v>0.0212921115942927</x:v>
      </x:c>
      <x:c r="M150" s="66" t="n">
        <x:v>0.000159303364850991</x:v>
      </x:c>
      <x:c r="N150" s="66" t="n">
        <x:v>-0.0363783148072079</x:v>
      </x:c>
      <x:c r="O150" s="66" t="n">
        <x:v>0.0200095561375464</x:v>
      </x:c>
      <x:c r="P150" s="66" t="n">
        <x:v>-0.0370992380991108</x:v>
      </x:c>
      <x:c r="Q150" s="66" t="n">
        <x:v>7.14892446715849e-9</x:v>
      </x:c>
      <x:c r="R150" s="66" t="str">
        <x:v>C:\Users\admin\.codex\.chatgpt-projects\g-p-6910508be2a081919b9cb5881a96c92b\overnight_refinement_2026-08-27\reports\149_13k_Mp1p35_Ap2_Op0p00001_ise_report.json</x:v>
      </x:c>
    </x:row>
    <x:row r="151">
      <x:c r="A151" s="66" t="str">
        <x:v>150_13k_Mp1p35_Ap2_Op0p0001_ise</x:v>
      </x:c>
      <x:c r="B151" s="66" t="str">
        <x:v>13k</x:v>
      </x:c>
      <x:c r="C151" s="66" t="n">
        <x:v>1.35</x:v>
      </x:c>
      <x:c r="D151" s="66" t="n">
        <x:v>2</x:v>
      </x:c>
      <x:c r="E151" s="66" t="n">
        <x:v>0.0001</x:v>
      </x:c>
      <x:c r="F151" s="66" t="str">
        <x:v>isentropic</x:v>
      </x:c>
      <x:c r="G151" s="66" t="str">
        <x:v>FQRUP</x:v>
      </x:c>
      <x:c r="H151" s="66" t="str">
        <x:v>OK</x:v>
      </x:c>
      <x:c r="I151" s="66" t="n">
        <x:v>1</x:v>
      </x:c>
      <x:c r="J151" s="66" t="n">
        <x:v>0</x:v>
      </x:c>
      <x:c r="K151" s="66" t="n">
        <x:v>30.36</x:v>
      </x:c>
      <x:c r="L151" s="66" t="n">
        <x:v>0.0213286773469624</x:v>
      </x:c>
      <x:c r="M151" s="66" t="n">
        <x:v>0.000162149490102244</x:v>
      </x:c>
      <x:c r="N151" s="66" t="n">
        <x:v>-0.0363859093837965</x:v>
      </x:c>
      <x:c r="O151" s="66" t="n">
        <x:v>0.0200458345684469</x:v>
      </x:c>
      <x:c r="P151" s="66" t="n">
        <x:v>-0.0371081041756533</x:v>
      </x:c>
      <x:c r="Q151" s="66" t="n">
        <x:v>7.16726791717473e-8</x:v>
      </x:c>
      <x:c r="R151" s="66" t="str">
        <x:v>C:\Users\admin\.codex\.chatgpt-projects\g-p-6910508be2a081919b9cb5881a96c92b\overnight_refinement_2026-08-27\reports\150_13k_Mp1p35_Ap2_Op0p0001_ise_report.json</x:v>
      </x:c>
    </x:row>
    <x:row r="152">
      <x:c r="A152" s="66" t="str">
        <x:v>151_13k_Mp1p35_Ap4_Op0p00001_ise</x:v>
      </x:c>
      <x:c r="B152" s="66" t="str">
        <x:v>13k</x:v>
      </x:c>
      <x:c r="C152" s="66" t="n">
        <x:v>1.35</x:v>
      </x:c>
      <x:c r="D152" s="66" t="n">
        <x:v>4</x:v>
      </x:c>
      <x:c r="E152" s="66" t="n">
        <x:v>0.00001</x:v>
      </x:c>
      <x:c r="F152" s="66" t="str">
        <x:v>isentropic</x:v>
      </x:c>
      <x:c r="G152" s="66" t="str">
        <x:v>FQRUP</x:v>
      </x:c>
      <x:c r="H152" s="66" t="str">
        <x:v>OK</x:v>
      </x:c>
      <x:c r="I152" s="66" t="n">
        <x:v>1</x:v>
      </x:c>
      <x:c r="J152" s="66" t="n">
        <x:v>0</x:v>
      </x:c>
      <x:c r="K152" s="66" t="n">
        <x:v>30.5</x:v>
      </x:c>
      <x:c r="L152" s="66" t="n">
        <x:v>0.0174910259122192</x:v>
      </x:c>
      <x:c r="M152" s="66" t="n">
        <x:v>-0.0000174032677651244</x:v>
      </x:c>
      <x:c r="N152" s="66" t="n">
        <x:v>-0.0000518224278192772</x:v>
      </x:c>
      <x:c r="O152" s="66" t="n">
        <x:v>0.0174448037023674</x:v>
      </x:c>
      <x:c r="P152" s="66" t="n">
        <x:v>-0.00127180848079323</x:v>
      </x:c>
      <x:c r="Q152" s="66" t="n">
        <x:v>7.70658988515457e-9</x:v>
      </x:c>
      <x:c r="R152" s="66" t="str">
        <x:v>C:\Users\admin\.codex\.chatgpt-projects\g-p-6910508be2a081919b9cb5881a96c92b\overnight_refinement_2026-08-27\reports\151_13k_Mp1p35_Ap4_Op0p00001_ise_report.json</x:v>
      </x:c>
    </x:row>
    <x:row r="153">
      <x:c r="A153" s="66" t="str">
        <x:v>152_13k_Mp1p35_Ap4_Op0p0001_ise</x:v>
      </x:c>
      <x:c r="B153" s="66" t="str">
        <x:v>13k</x:v>
      </x:c>
      <x:c r="C153" s="66" t="n">
        <x:v>1.35</x:v>
      </x:c>
      <x:c r="D153" s="66" t="n">
        <x:v>4</x:v>
      </x:c>
      <x:c r="E153" s="66" t="n">
        <x:v>0.0001</x:v>
      </x:c>
      <x:c r="F153" s="66" t="str">
        <x:v>isentropic</x:v>
      </x:c>
      <x:c r="G153" s="66" t="str">
        <x:v>FQRUP</x:v>
      </x:c>
      <x:c r="H153" s="66" t="str">
        <x:v>OK</x:v>
      </x:c>
      <x:c r="I153" s="66" t="n">
        <x:v>1</x:v>
      </x:c>
      <x:c r="J153" s="66" t="n">
        <x:v>0</x:v>
      </x:c>
      <x:c r="K153" s="66" t="n">
        <x:v>30.234</x:v>
      </x:c>
      <x:c r="L153" s="66" t="n">
        <x:v>0.0175034781336501</x:v>
      </x:c>
      <x:c r="M153" s="66" t="n">
        <x:v>-0.0000147745007285467</x:v>
      </x:c>
      <x:c r="N153" s="66" t="n">
        <x:v>-0.0000778029765194437</x:v>
      </x:c>
      <x:c r="O153" s="66" t="n">
        <x:v>0.0174554132793495</x:v>
      </x:c>
      <x:c r="P153" s="66" t="n">
        <x:v>-0.00129859436523984</x:v>
      </x:c>
      <x:c r="Q153" s="66" t="n">
        <x:v>7.72209928545381e-8</x:v>
      </x:c>
      <x:c r="R153" s="66" t="str">
        <x:v>C:\Users\admin\.codex\.chatgpt-projects\g-p-6910508be2a081919b9cb5881a96c92b\overnight_refinement_2026-08-27\reports\152_13k_Mp1p35_Ap4_Op0p0001_ise_report.json</x:v>
      </x:c>
    </x:row>
    <x:row r="154">
      <x:c r="A154" s="66" t="str">
        <x:v>153_13k_Mp1p4_Am4_Op0p00001_ise</x:v>
      </x:c>
      <x:c r="B154" s="66" t="str">
        <x:v>13k</x:v>
      </x:c>
      <x:c r="C154" s="66" t="n">
        <x:v>1.4</x:v>
      </x:c>
      <x:c r="D154" s="66" t="n">
        <x:v>-4</x:v>
      </x:c>
      <x:c r="E154" s="66" t="n">
        <x:v>0.00001</x:v>
      </x:c>
      <x:c r="F154" s="66" t="str">
        <x:v>isentropic</x:v>
      </x:c>
      <x:c r="G154" s="66" t="str">
        <x:v>FQRUP</x:v>
      </x:c>
      <x:c r="H154" s="66" t="str">
        <x:v>OK</x:v>
      </x:c>
      <x:c r="I154" s="66" t="n">
        <x:v>1</x:v>
      </x:c>
      <x:c r="J154" s="66" t="n">
        <x:v>0</x:v>
      </x:c>
      <x:c r="K154" s="66" t="n">
        <x:v>28.563</x:v>
      </x:c>
      <x:c r="L154" s="66" t="n">
        <x:v>0.016114450129745</x:v>
      </x:c>
      <x:c r="M154" s="66" t="n">
        <x:v>0.00283170467776099</x:v>
      </x:c>
      <x:c r="N154" s="66" t="n">
        <x:v>0.0154886764544315</x:v>
      </x:c>
      <x:c r="O154" s="66" t="n">
        <x:v>0.0149947606867136</x:v>
      </x:c>
      <x:c r="P154" s="66" t="n">
        <x:v>0.0165750340344232</x:v>
      </x:c>
      <x:c r="Q154" s="66" t="n">
        <x:v>5.56491016407145e-9</x:v>
      </x:c>
      <x:c r="R154" s="66" t="str">
        <x:v>C:\Users\admin\.codex\.chatgpt-projects\g-p-6910508be2a081919b9cb5881a96c92b\overnight_refinement_2026-08-27\reports\153_13k_Mp1p4_Am4_Op0p00001_ise_report.json</x:v>
      </x:c>
    </x:row>
    <x:row r="155">
      <x:c r="A155" s="66" t="str">
        <x:v>154_13k_Mp1p4_Am4_Op0p0001_ise</x:v>
      </x:c>
      <x:c r="B155" s="66" t="str">
        <x:v>13k</x:v>
      </x:c>
      <x:c r="C155" s="66" t="n">
        <x:v>1.4</x:v>
      </x:c>
      <x:c r="D155" s="66" t="n">
        <x:v>-4</x:v>
      </x:c>
      <x:c r="E155" s="66" t="n">
        <x:v>0.0001</x:v>
      </x:c>
      <x:c r="F155" s="66" t="str">
        <x:v>isentropic</x:v>
      </x:c>
      <x:c r="G155" s="66" t="str">
        <x:v>FQRUP</x:v>
      </x:c>
      <x:c r="H155" s="66" t="str">
        <x:v>OK</x:v>
      </x:c>
      <x:c r="I155" s="66" t="n">
        <x:v>1</x:v>
      </x:c>
      <x:c r="J155" s="66" t="n">
        <x:v>0</x:v>
      </x:c>
      <x:c r="K155" s="66" t="n">
        <x:v>28.421</x:v>
      </x:c>
      <x:c r="L155" s="66" t="n">
        <x:v>0.0161098800894304</x:v>
      </x:c>
      <x:c r="M155" s="66" t="n">
        <x:v>0.00283040785730703</x:v>
      </x:c>
      <x:c r="N155" s="66" t="n">
        <x:v>0.0155254455235061</x:v>
      </x:c>
      <x:c r="O155" s="66" t="n">
        <x:v>0.014987636898186</x:v>
      </x:c>
      <x:c r="P155" s="66" t="n">
        <x:v>0.0166113947459964</x:v>
      </x:c>
      <x:c r="Q155" s="66" t="n">
        <x:v>5.59151647122352e-8</x:v>
      </x:c>
      <x:c r="R155" s="66" t="str">
        <x:v>C:\Users\admin\.codex\.chatgpt-projects\g-p-6910508be2a081919b9cb5881a96c92b\overnight_refinement_2026-08-27\reports\154_13k_Mp1p4_Am4_Op0p0001_ise_report.json</x:v>
      </x:c>
    </x:row>
    <x:row r="156">
      <x:c r="A156" s="66" t="str">
        <x:v>155_13k_Mp1p4_Am2_Op0p00001_ise</x:v>
      </x:c>
      <x:c r="B156" s="66" t="str">
        <x:v>13k</x:v>
      </x:c>
      <x:c r="C156" s="66" t="n">
        <x:v>1.4</x:v>
      </x:c>
      <x:c r="D156" s="66" t="n">
        <x:v>-2</x:v>
      </x:c>
      <x:c r="E156" s="66" t="n">
        <x:v>0.00001</x:v>
      </x:c>
      <x:c r="F156" s="66" t="str">
        <x:v>isentropic</x:v>
      </x:c>
      <x:c r="G156" s="66" t="str">
        <x:v>FQRUP</x:v>
      </x:c>
      <x:c r="H156" s="66" t="str">
        <x:v>OK</x:v>
      </x:c>
      <x:c r="I156" s="66" t="n">
        <x:v>1</x:v>
      </x:c>
      <x:c r="J156" s="66" t="n">
        <x:v>0</x:v>
      </x:c>
      <x:c r="K156" s="66" t="n">
        <x:v>28.985</x:v>
      </x:c>
      <x:c r="L156" s="66" t="n">
        <x:v>0.0199883729048511</x:v>
      </x:c>
      <x:c r="M156" s="66" t="n">
        <x:v>-0.000262646857417014</x:v>
      </x:c>
      <x:c r="N156" s="66" t="n">
        <x:v>0.00794759948245347</x:v>
      </x:c>
      <x:c r="O156" s="66" t="n">
        <x:v>0.0196988293062145</x:v>
      </x:c>
      <x:c r="P156" s="66" t="n">
        <x:v>0.00864034217386692</x:v>
      </x:c>
      <x:c r="Q156" s="66" t="n">
        <x:v>5.84788565000316e-9</x:v>
      </x:c>
      <x:c r="R156" s="66" t="str">
        <x:v>C:\Users\admin\.codex\.chatgpt-projects\g-p-6910508be2a081919b9cb5881a96c92b\overnight_refinement_2026-08-27\reports\155_13k_Mp1p4_Am2_Op0p00001_ise_report.json</x:v>
      </x:c>
    </x:row>
    <x:row r="157">
      <x:c r="A157" s="66" t="str">
        <x:v>156_13k_Mp1p4_Am2_Op0p0001_ise</x:v>
      </x:c>
      <x:c r="B157" s="66" t="str">
        <x:v>13k</x:v>
      </x:c>
      <x:c r="C157" s="66" t="n">
        <x:v>1.4</x:v>
      </x:c>
      <x:c r="D157" s="66" t="n">
        <x:v>-2</x:v>
      </x:c>
      <x:c r="E157" s="66" t="n">
        <x:v>0.0001</x:v>
      </x:c>
      <x:c r="F157" s="66" t="str">
        <x:v>isentropic</x:v>
      </x:c>
      <x:c r="G157" s="66" t="str">
        <x:v>FQRUP</x:v>
      </x:c>
      <x:c r="H157" s="66" t="str">
        <x:v>OK</x:v>
      </x:c>
      <x:c r="I157" s="66" t="n">
        <x:v>1</x:v>
      </x:c>
      <x:c r="J157" s="66" t="n">
        <x:v>0</x:v>
      </x:c>
      <x:c r="K157" s="66" t="n">
        <x:v>29.046</x:v>
      </x:c>
      <x:c r="L157" s="66" t="n">
        <x:v>0.019984498045066</x:v>
      </x:c>
      <x:c r="M157" s="66" t="n">
        <x:v>-0.000262494876463261</x:v>
      </x:c>
      <x:c r="N157" s="66" t="n">
        <x:v>0.00797405875074191</x:v>
      </x:c>
      <x:c r="O157" s="66" t="n">
        <x:v>0.0196940333917429</x:v>
      </x:c>
      <x:c r="P157" s="66" t="n">
        <x:v>0.00866665009322773</x:v>
      </x:c>
      <x:c r="Q157" s="66" t="n">
        <x:v>5.87611817703183e-8</x:v>
      </x:c>
      <x:c r="R157" s="66" t="str">
        <x:v>C:\Users\admin\.codex\.chatgpt-projects\g-p-6910508be2a081919b9cb5881a96c92b\overnight_refinement_2026-08-27\reports\156_13k_Mp1p4_Am2_Op0p0001_ise_report.json</x:v>
      </x:c>
    </x:row>
    <x:row r="158">
      <x:c r="A158" s="66" t="str">
        <x:v>157_13k_Mp1p4_Ap0_Op0p00001_ise</x:v>
      </x:c>
      <x:c r="B158" s="66" t="str">
        <x:v>13k</x:v>
      </x:c>
      <x:c r="C158" s="66" t="n">
        <x:v>1.4</x:v>
      </x:c>
      <x:c r="D158" s="66" t="n">
        <x:v>0</x:v>
      </x:c>
      <x:c r="E158" s="66" t="n">
        <x:v>0.00001</x:v>
      </x:c>
      <x:c r="F158" s="66" t="str">
        <x:v>isentropic</x:v>
      </x:c>
      <x:c r="G158" s="66" t="str">
        <x:v>FQRUP</x:v>
      </x:c>
      <x:c r="H158" s="66" t="str">
        <x:v>OK</x:v>
      </x:c>
      <x:c r="I158" s="66" t="n">
        <x:v>1</x:v>
      </x:c>
      <x:c r="J158" s="66" t="n">
        <x:v>0</x:v>
      </x:c>
      <x:c r="K158" s="66" t="n">
        <x:v>28.578</x:v>
      </x:c>
      <x:c r="L158" s="66" t="n">
        <x:v>0.0202302219567005</x:v>
      </x:c>
      <x:c r="M158" s="66" t="n">
        <x:v>0.000418815034109765</x:v>
      </x:c>
      <x:c r="N158" s="66" t="n">
        <x:v>-0.0123918909553441</x:v>
      </x:c>
      <x:c r="O158" s="66" t="n">
        <x:v>0.0202302219567005</x:v>
      </x:c>
      <x:c r="P158" s="66" t="n">
        <x:v>-0.0123918909553441</x:v>
      </x:c>
      <x:c r="Q158" s="66" t="n">
        <x:v>6.29729359474948e-9</x:v>
      </x:c>
      <x:c r="R158" s="66" t="str">
        <x:v>C:\Users\admin\.codex\.chatgpt-projects\g-p-6910508be2a081919b9cb5881a96c92b\overnight_refinement_2026-08-27\reports\157_13k_Mp1p4_Ap0_Op0p00001_ise_report.json</x:v>
      </x:c>
    </x:row>
    <x:row r="159">
      <x:c r="A159" s="66" t="str">
        <x:v>158_13k_Mp1p4_Ap0_Op0p0001_ise</x:v>
      </x:c>
      <x:c r="B159" s="66" t="str">
        <x:v>13k</x:v>
      </x:c>
      <x:c r="C159" s="66" t="n">
        <x:v>1.4</x:v>
      </x:c>
      <x:c r="D159" s="66" t="n">
        <x:v>0</x:v>
      </x:c>
      <x:c r="E159" s="66" t="n">
        <x:v>0.0001</x:v>
      </x:c>
      <x:c r="F159" s="66" t="str">
        <x:v>isentropic</x:v>
      </x:c>
      <x:c r="G159" s="66" t="str">
        <x:v>FQRUP</x:v>
      </x:c>
      <x:c r="H159" s="66" t="str">
        <x:v>OK</x:v>
      </x:c>
      <x:c r="I159" s="66" t="n">
        <x:v>1</x:v>
      </x:c>
      <x:c r="J159" s="66" t="n">
        <x:v>0</x:v>
      </x:c>
      <x:c r="K159" s="66" t="n">
        <x:v>28.735</x:v>
      </x:c>
      <x:c r="L159" s="66" t="n">
        <x:v>0.0202237097986772</x:v>
      </x:c>
      <x:c r="M159" s="66" t="n">
        <x:v>0.000422647805348024</x:v>
      </x:c>
      <x:c r="N159" s="66" t="n">
        <x:v>-0.0123722903240758</x:v>
      </x:c>
      <x:c r="O159" s="66" t="n">
        <x:v>0.0202237097986772</x:v>
      </x:c>
      <x:c r="P159" s="66" t="n">
        <x:v>-0.0123722903240758</x:v>
      </x:c>
      <x:c r="Q159" s="66" t="n">
        <x:v>6.30747292055953e-8</x:v>
      </x:c>
      <x:c r="R159" s="66" t="str">
        <x:v>C:\Users\admin\.codex\.chatgpt-projects\g-p-6910508be2a081919b9cb5881a96c92b\overnight_refinement_2026-08-27\reports\158_13k_Mp1p4_Ap0_Op0p0001_ise_report.json</x:v>
      </x:c>
    </x:row>
    <x:row r="160">
      <x:c r="A160" s="66" t="str">
        <x:v>159_13k_Mp1p4_Ap2_Op0p00001_ise</x:v>
      </x:c>
      <x:c r="B160" s="66" t="str">
        <x:v>13k</x:v>
      </x:c>
      <x:c r="C160" s="66" t="n">
        <x:v>1.4</x:v>
      </x:c>
      <x:c r="D160" s="66" t="n">
        <x:v>2</x:v>
      </x:c>
      <x:c r="E160" s="66" t="n">
        <x:v>0.00001</x:v>
      </x:c>
      <x:c r="F160" s="66" t="str">
        <x:v>isentropic</x:v>
      </x:c>
      <x:c r="G160" s="66" t="str">
        <x:v>FQRUP</x:v>
      </x:c>
      <x:c r="H160" s="66" t="str">
        <x:v>OK</x:v>
      </x:c>
      <x:c r="I160" s="66" t="n">
        <x:v>1</x:v>
      </x:c>
      <x:c r="J160" s="66" t="n">
        <x:v>0</x:v>
      </x:c>
      <x:c r="K160" s="66" t="n">
        <x:v>29.047</x:v>
      </x:c>
      <x:c r="L160" s="66" t="n">
        <x:v>0.0190416925172118</x:v>
      </x:c>
      <x:c r="M160" s="66" t="n">
        <x:v>0.000313296431331394</x:v>
      </x:c>
      <x:c r="N160" s="66" t="n">
        <x:v>-0.0274090248257182</x:v>
      </x:c>
      <x:c r="O160" s="66" t="n">
        <x:v>0.0180735316610957</x:v>
      </x:c>
      <x:c r="P160" s="66" t="n">
        <x:v>-0.0280568734735759</x:v>
      </x:c>
      <x:c r="Q160" s="66" t="n">
        <x:v>6.85288519677386e-9</x:v>
      </x:c>
      <x:c r="R160" s="66" t="str">
        <x:v>C:\Users\admin\.codex\.chatgpt-projects\g-p-6910508be2a081919b9cb5881a96c92b\overnight_refinement_2026-08-27\reports\159_13k_Mp1p4_Ap2_Op0p00001_ise_report.json</x:v>
      </x:c>
    </x:row>
    <x:row r="161">
      <x:c r="A161" s="66" t="str">
        <x:v>160_13k_Mp1p4_Ap2_Op0p0001_ise</x:v>
      </x:c>
      <x:c r="B161" s="66" t="str">
        <x:v>13k</x:v>
      </x:c>
      <x:c r="C161" s="66" t="n">
        <x:v>1.4</x:v>
      </x:c>
      <x:c r="D161" s="66" t="n">
        <x:v>2</x:v>
      </x:c>
      <x:c r="E161" s="66" t="n">
        <x:v>0.0001</x:v>
      </x:c>
      <x:c r="F161" s="66" t="str">
        <x:v>isentropic</x:v>
      </x:c>
      <x:c r="G161" s="66" t="str">
        <x:v>FQRUP</x:v>
      </x:c>
      <x:c r="H161" s="66" t="str">
        <x:v>OK</x:v>
      </x:c>
      <x:c r="I161" s="66" t="n">
        <x:v>1</x:v>
      </x:c>
      <x:c r="J161" s="66" t="n">
        <x:v>0</x:v>
      </x:c>
      <x:c r="K161" s="66" t="n">
        <x:v>28.781</x:v>
      </x:c>
      <x:c r="L161" s="66" t="n">
        <x:v>0.0190348645701628</x:v>
      </x:c>
      <x:c r="M161" s="66" t="n">
        <x:v>0.000324116092684194</x:v>
      </x:c>
      <x:c r="N161" s="66" t="n">
        <x:v>-0.0273941453506286</x:v>
      </x:c>
      <x:c r="O161" s="66" t="n">
        <x:v>0.0180672271596394</x:v>
      </x:c>
      <x:c r="P161" s="66" t="n">
        <x:v>-0.028041764770745</x:v>
      </x:c>
      <x:c r="Q161" s="66" t="n">
        <x:v>6.87877355148866e-8</x:v>
      </x:c>
      <x:c r="R161" s="66" t="str">
        <x:v>C:\Users\admin\.codex\.chatgpt-projects\g-p-6910508be2a081919b9cb5881a96c92b\overnight_refinement_2026-08-27\reports\160_13k_Mp1p4_Ap2_Op0p0001_ise_report.json</x:v>
      </x:c>
    </x:row>
    <x:row r="162">
      <x:c r="A162" s="66" t="str">
        <x:v>161_13k_Mp1p4_Ap4_Op0p00001_ise</x:v>
      </x:c>
      <x:c r="B162" s="66" t="str">
        <x:v>13k</x:v>
      </x:c>
      <x:c r="C162" s="66" t="n">
        <x:v>1.4</x:v>
      </x:c>
      <x:c r="D162" s="66" t="n">
        <x:v>4</x:v>
      </x:c>
      <x:c r="E162" s="66" t="n">
        <x:v>0.00001</x:v>
      </x:c>
      <x:c r="F162" s="66" t="str">
        <x:v>isentropic</x:v>
      </x:c>
      <x:c r="G162" s="66" t="str">
        <x:v>FQRUP</x:v>
      </x:c>
      <x:c r="H162" s="66" t="str">
        <x:v>OK</x:v>
      </x:c>
      <x:c r="I162" s="66" t="n">
        <x:v>1</x:v>
      </x:c>
      <x:c r="J162" s="66" t="n">
        <x:v>0</x:v>
      </x:c>
      <x:c r="K162" s="66" t="n">
        <x:v>28.891</x:v>
      </x:c>
      <x:c r="L162" s="66" t="n">
        <x:v>0.0206646783330202</x:v>
      </x:c>
      <x:c r="M162" s="66" t="n">
        <x:v>-0.00184171803101676</x:v>
      </x:c>
      <x:c r="N162" s="66" t="n">
        <x:v>0.00951735422857874</x:v>
      </x:c>
      <x:c r="O162" s="66" t="n">
        <x:v>0.0212782372855635</x:v>
      </x:c>
      <x:c r="P162" s="66" t="n">
        <x:v>0.00805267534045035</x:v>
      </x:c>
      <x:c r="Q162" s="66" t="n">
        <x:v>7.48956435631551e-9</x:v>
      </x:c>
      <x:c r="R162" s="66" t="str">
        <x:v>C:\Users\admin\.codex\.chatgpt-projects\g-p-6910508be2a081919b9cb5881a96c92b\overnight_refinement_2026-08-27\reports\161_13k_Mp1p4_Ap4_Op0p00001_ise_report.json</x:v>
      </x:c>
    </x:row>
    <x:row r="163">
      <x:c r="A163" s="66" t="str">
        <x:v>162_13k_Mp1p4_Ap4_Op0p0001_ise</x:v>
      </x:c>
      <x:c r="B163" s="66" t="str">
        <x:v>13k</x:v>
      </x:c>
      <x:c r="C163" s="66" t="n">
        <x:v>1.4</x:v>
      </x:c>
      <x:c r="D163" s="66" t="n">
        <x:v>4</x:v>
      </x:c>
      <x:c r="E163" s="66" t="n">
        <x:v>0.0001</x:v>
      </x:c>
      <x:c r="F163" s="66" t="str">
        <x:v>isentropic</x:v>
      </x:c>
      <x:c r="G163" s="66" t="str">
        <x:v>FQRUP</x:v>
      </x:c>
      <x:c r="H163" s="66" t="str">
        <x:v>OK</x:v>
      </x:c>
      <x:c r="I163" s="66" t="n">
        <x:v>1</x:v>
      </x:c>
      <x:c r="J163" s="66" t="n">
        <x:v>0</x:v>
      </x:c>
      <x:c r="K163" s="66" t="n">
        <x:v>28.89</x:v>
      </x:c>
      <x:c r="L163" s="66" t="n">
        <x:v>0.0206595886978017</x:v>
      </x:c>
      <x:c r="M163" s="66" t="n">
        <x:v>-0.0018353138275663</x:v>
      </x:c>
      <x:c r="N163" s="66" t="n">
        <x:v>0.0095052953219585</x:v>
      </x:c>
      <x:c r="O163" s="66" t="n">
        <x:v>0.0212723188616375</x:v>
      </x:c>
      <x:c r="P163" s="66" t="n">
        <x:v>0.00804100084372605</x:v>
      </x:c>
      <x:c r="Q163" s="66" t="n">
        <x:v>7.51277624193229e-8</x:v>
      </x:c>
      <x:c r="R163" s="66" t="str">
        <x:v>C:\Users\admin\.codex\.chatgpt-projects\g-p-6910508be2a081919b9cb5881a96c92b\overnight_refinement_2026-08-27\reports\162_13k_Mp1p4_Ap4_Op0p0001_ise_report.json</x:v>
      </x:c>
    </x:row>
    <x:row r="164">
      <x:c r="A164" s="66" t="str">
        <x:v>163_13k_Mp1p45_Am4_Op0p00001_ise</x:v>
      </x:c>
      <x:c r="B164" s="66" t="str">
        <x:v>13k</x:v>
      </x:c>
      <x:c r="C164" s="66" t="n">
        <x:v>1.45</x:v>
      </x:c>
      <x:c r="D164" s="66" t="n">
        <x:v>-4</x:v>
      </x:c>
      <x:c r="E164" s="66" t="n">
        <x:v>0.00001</x:v>
      </x:c>
      <x:c r="F164" s="66" t="str">
        <x:v>isentropic</x:v>
      </x:c>
      <x:c r="G164" s="66" t="str">
        <x:v>FQRUP</x:v>
      </x:c>
      <x:c r="H164" s="66" t="str">
        <x:v>OK</x:v>
      </x:c>
      <x:c r="I164" s="66" t="n">
        <x:v>1</x:v>
      </x:c>
      <x:c r="J164" s="66" t="n">
        <x:v>0</x:v>
      </x:c>
      <x:c r="K164" s="66" t="n">
        <x:v>26.828</x:v>
      </x:c>
      <x:c r="L164" s="66" t="n">
        <x:v>0.0238582590314582</x:v>
      </x:c>
      <x:c r="M164" s="66" t="n">
        <x:v>-0.00385698774235712</x:v>
      </x:c>
      <x:c r="N164" s="66" t="n">
        <x:v>0.0229909815734122</x:v>
      </x:c>
      <x:c r="O164" s="66" t="n">
        <x:v>0.0221963717090921</x:v>
      </x:c>
      <x:c r="P164" s="66" t="n">
        <x:v>0.0245992447175305</x:v>
      </x:c>
      <x:c r="Q164" s="66" t="n">
        <x:v>5.13251106438002e-9</x:v>
      </x:c>
      <x:c r="R164" s="66" t="str">
        <x:v>C:\Users\admin\.codex\.chatgpt-projects\g-p-6910508be2a081919b9cb5881a96c92b\overnight_refinement_2026-08-27\reports\163_13k_Mp1p45_Am4_Op0p00001_ise_report.json</x:v>
      </x:c>
    </x:row>
    <x:row r="165">
      <x:c r="A165" s="66" t="str">
        <x:v>164_13k_Mp1p45_Am4_Op0p0001_ise</x:v>
      </x:c>
      <x:c r="B165" s="66" t="str">
        <x:v>13k</x:v>
      </x:c>
      <x:c r="C165" s="66" t="n">
        <x:v>1.45</x:v>
      </x:c>
      <x:c r="D165" s="66" t="n">
        <x:v>-4</x:v>
      </x:c>
      <x:c r="E165" s="66" t="n">
        <x:v>0.0001</x:v>
      </x:c>
      <x:c r="F165" s="66" t="str">
        <x:v>isentropic</x:v>
      </x:c>
      <x:c r="G165" s="66" t="str">
        <x:v>FQRUP</x:v>
      </x:c>
      <x:c r="H165" s="66" t="str">
        <x:v>OK</x:v>
      </x:c>
      <x:c r="I165" s="66" t="n">
        <x:v>1</x:v>
      </x:c>
      <x:c r="J165" s="66" t="n">
        <x:v>0</x:v>
      </x:c>
      <x:c r="K165" s="66" t="n">
        <x:v>26.922</x:v>
      </x:c>
      <x:c r="L165" s="66" t="n">
        <x:v>0.0238523691560223</x:v>
      </x:c>
      <x:c r="M165" s="66" t="n">
        <x:v>-0.00386566491705228</x:v>
      </x:c>
      <x:c r="N165" s="66" t="n">
        <x:v>0.0229930101261482</x:v>
      </x:c>
      <x:c r="O165" s="66" t="n">
        <x:v>0.022190354676411</x:v>
      </x:c>
      <x:c r="P165" s="66" t="n">
        <x:v>0.0246008574718728</x:v>
      </x:c>
      <x:c r="Q165" s="66" t="n">
        <x:v>5.16076159138366e-8</x:v>
      </x:c>
      <x:c r="R165" s="66" t="str">
        <x:v>C:\Users\admin\.codex\.chatgpt-projects\g-p-6910508be2a081919b9cb5881a96c92b\overnight_refinement_2026-08-27\reports\164_13k_Mp1p45_Am4_Op0p0001_ise_report.json</x:v>
      </x:c>
    </x:row>
    <x:row r="166">
      <x:c r="A166" s="66" t="str">
        <x:v>165_13k_Mp1p45_Am2_Op0p00001_ise</x:v>
      </x:c>
      <x:c r="B166" s="66" t="str">
        <x:v>13k</x:v>
      </x:c>
      <x:c r="C166" s="66" t="n">
        <x:v>1.45</x:v>
      </x:c>
      <x:c r="D166" s="66" t="n">
        <x:v>-2</x:v>
      </x:c>
      <x:c r="E166" s="66" t="n">
        <x:v>0.00001</x:v>
      </x:c>
      <x:c r="F166" s="66" t="str">
        <x:v>isentropic</x:v>
      </x:c>
      <x:c r="G166" s="66" t="str">
        <x:v>FQRUP</x:v>
      </x:c>
      <x:c r="H166" s="66" t="str">
        <x:v>OK</x:v>
      </x:c>
      <x:c r="I166" s="66" t="n">
        <x:v>1</x:v>
      </x:c>
      <x:c r="J166" s="66" t="n">
        <x:v>0</x:v>
      </x:c>
      <x:c r="K166" s="66" t="n">
        <x:v>26.687</x:v>
      </x:c>
      <x:c r="L166" s="66" t="n">
        <x:v>0.0263574386683317</x:v>
      </x:c>
      <x:c r="M166" s="66" t="n">
        <x:v>-0.00100930633031127</x:v>
      </x:c>
      <x:c r="N166" s="66" t="n">
        <x:v>0.018987282089212</x:v>
      </x:c>
      <x:c r="O166" s="66" t="n">
        <x:v>0.0256787358401872</x:v>
      </x:c>
      <x:c r="P166" s="66" t="n">
        <x:v>0.0198955768938743</x:v>
      </x:c>
      <x:c r="Q166" s="66" t="n">
        <x:v>5.3381487813347e-9</x:v>
      </x:c>
      <x:c r="R166" s="66" t="str">
        <x:v>C:\Users\admin\.codex\.chatgpt-projects\g-p-6910508be2a081919b9cb5881a96c92b\overnight_refinement_2026-08-27\reports\165_13k_Mp1p45_Am2_Op0p00001_ise_report.json</x:v>
      </x:c>
    </x:row>
    <x:row r="167">
      <x:c r="A167" s="66" t="str">
        <x:v>166_13k_Mp1p45_Am2_Op0p0001_ise</x:v>
      </x:c>
      <x:c r="B167" s="66" t="str">
        <x:v>13k</x:v>
      </x:c>
      <x:c r="C167" s="66" t="n">
        <x:v>1.45</x:v>
      </x:c>
      <x:c r="D167" s="66" t="n">
        <x:v>-2</x:v>
      </x:c>
      <x:c r="E167" s="66" t="n">
        <x:v>0.0001</x:v>
      </x:c>
      <x:c r="F167" s="66" t="str">
        <x:v>isentropic</x:v>
      </x:c>
      <x:c r="G167" s="66" t="str">
        <x:v>FQRUP</x:v>
      </x:c>
      <x:c r="H167" s="66" t="str">
        <x:v>OK</x:v>
      </x:c>
      <x:c r="I167" s="66" t="n">
        <x:v>1</x:v>
      </x:c>
      <x:c r="J167" s="66" t="n">
        <x:v>0</x:v>
      </x:c>
      <x:c r="K167" s="66" t="n">
        <x:v>26.485</x:v>
      </x:c>
      <x:c r="L167" s="66" t="n">
        <x:v>0.0263513517360894</x:v>
      </x:c>
      <x:c r="M167" s="66" t="n">
        <x:v>-0.00100597006843552</x:v>
      </x:c>
      <x:c r="N167" s="66" t="n">
        <x:v>0.0189862371437262</x:v>
      </x:c>
      <x:c r="O167" s="66" t="n">
        <x:v>0.0256726890840111</x:v>
      </x:c>
      <x:c r="P167" s="66" t="n">
        <x:v>0.0198943201540693</x:v>
      </x:c>
      <x:c r="Q167" s="66" t="n">
        <x:v>5.37146440277231e-8</x:v>
      </x:c>
      <x:c r="R167" s="66" t="str">
        <x:v>C:\Users\admin\.codex\.chatgpt-projects\g-p-6910508be2a081919b9cb5881a96c92b\overnight_refinement_2026-08-27\reports\166_13k_Mp1p45_Am2_Op0p0001_ise_report.json</x:v>
      </x:c>
    </x:row>
    <x:row r="168">
      <x:c r="A168" s="66" t="str">
        <x:v>167_13k_Mp1p45_Ap0_Op0p00001_ise</x:v>
      </x:c>
      <x:c r="B168" s="66" t="str">
        <x:v>13k</x:v>
      </x:c>
      <x:c r="C168" s="66" t="n">
        <x:v>1.45</x:v>
      </x:c>
      <x:c r="D168" s="66" t="n">
        <x:v>0</x:v>
      </x:c>
      <x:c r="E168" s="66" t="n">
        <x:v>0.00001</x:v>
      </x:c>
      <x:c r="F168" s="66" t="str">
        <x:v>isentropic</x:v>
      </x:c>
      <x:c r="G168" s="66" t="str">
        <x:v>FQRUP</x:v>
      </x:c>
      <x:c r="H168" s="66" t="str">
        <x:v>OK</x:v>
      </x:c>
      <x:c r="I168" s="66" t="n">
        <x:v>1</x:v>
      </x:c>
      <x:c r="J168" s="66" t="n">
        <x:v>0</x:v>
      </x:c>
      <x:c r="K168" s="66" t="n">
        <x:v>26.532</x:v>
      </x:c>
      <x:c r="L168" s="66" t="n">
        <x:v>0.0282122523555153</x:v>
      </x:c>
      <x:c r="M168" s="66" t="n">
        <x:v>-0.00132511760535163</x:v>
      </x:c>
      <x:c r="N168" s="66" t="n">
        <x:v>-0.00485491585603756</x:v>
      </x:c>
      <x:c r="O168" s="66" t="n">
        <x:v>0.0282122523555153</x:v>
      </x:c>
      <x:c r="P168" s="66" t="n">
        <x:v>-0.00485491585603756</x:v>
      </x:c>
      <x:c r="Q168" s="66" t="n">
        <x:v>5.77925440958384e-9</x:v>
      </x:c>
      <x:c r="R168" s="66" t="str">
        <x:v>C:\Users\admin\.codex\.chatgpt-projects\g-p-6910508be2a081919b9cb5881a96c92b\overnight_refinement_2026-08-27\reports\167_13k_Mp1p45_Ap0_Op0p00001_ise_report.json</x:v>
      </x:c>
    </x:row>
    <x:row r="169">
      <x:c r="A169" s="66" t="str">
        <x:v>168_13k_Mp1p45_Ap0_Op0p0001_ise</x:v>
      </x:c>
      <x:c r="B169" s="66" t="str">
        <x:v>13k</x:v>
      </x:c>
      <x:c r="C169" s="66" t="n">
        <x:v>1.45</x:v>
      </x:c>
      <x:c r="D169" s="66" t="n">
        <x:v>0</x:v>
      </x:c>
      <x:c r="E169" s="66" t="n">
        <x:v>0.0001</x:v>
      </x:c>
      <x:c r="F169" s="66" t="str">
        <x:v>isentropic</x:v>
      </x:c>
      <x:c r="G169" s="66" t="str">
        <x:v>FQRUP</x:v>
      </x:c>
      <x:c r="H169" s="66" t="str">
        <x:v>OK</x:v>
      </x:c>
      <x:c r="I169" s="66" t="n">
        <x:v>1</x:v>
      </x:c>
      <x:c r="J169" s="66" t="n">
        <x:v>0</x:v>
      </x:c>
      <x:c r="K169" s="66" t="n">
        <x:v>26.718</x:v>
      </x:c>
      <x:c r="L169" s="66" t="n">
        <x:v>0.0282081102548796</x:v>
      </x:c>
      <x:c r="M169" s="66" t="n">
        <x:v>-0.00131991846483675</x:v>
      </x:c>
      <x:c r="N169" s="66" t="n">
        <x:v>-0.00485586165642978</x:v>
      </x:c>
      <x:c r="O169" s="66" t="n">
        <x:v>0.0282081102548796</x:v>
      </x:c>
      <x:c r="P169" s="66" t="n">
        <x:v>-0.00485586165642978</x:v>
      </x:c>
      <x:c r="Q169" s="66" t="n">
        <x:v>5.81358003758395e-8</x:v>
      </x:c>
      <x:c r="R169" s="66" t="str">
        <x:v>C:\Users\admin\.codex\.chatgpt-projects\g-p-6910508be2a081919b9cb5881a96c92b\overnight_refinement_2026-08-27\reports\168_13k_Mp1p45_Ap0_Op0p0001_ise_report.json</x:v>
      </x:c>
    </x:row>
    <x:row r="170">
      <x:c r="A170" s="66" t="str">
        <x:v>169_13k_Mp1p45_Ap2_Op0p00001_ise</x:v>
      </x:c>
      <x:c r="B170" s="66" t="str">
        <x:v>13k</x:v>
      </x:c>
      <x:c r="C170" s="66" t="n">
        <x:v>1.45</x:v>
      </x:c>
      <x:c r="D170" s="66" t="n">
        <x:v>2</x:v>
      </x:c>
      <x:c r="E170" s="66" t="n">
        <x:v>0.00001</x:v>
      </x:c>
      <x:c r="F170" s="66" t="str">
        <x:v>isentropic</x:v>
      </x:c>
      <x:c r="G170" s="66" t="str">
        <x:v>FQRUP</x:v>
      </x:c>
      <x:c r="H170" s="66" t="str">
        <x:v>OK</x:v>
      </x:c>
      <x:c r="I170" s="66" t="n">
        <x:v>1</x:v>
      </x:c>
      <x:c r="J170" s="66" t="n">
        <x:v>0</x:v>
      </x:c>
      <x:c r="K170" s="66" t="n">
        <x:v>26.719</x:v>
      </x:c>
      <x:c r="L170" s="66" t="n">
        <x:v>0.0259685553662444</x:v>
      </x:c>
      <x:c r="M170" s="66" t="n">
        <x:v>-0.00150256821417482</x:v>
      </x:c>
      <x:c r="N170" s="66" t="n">
        <x:v>-0.0221270117422359</x:v>
      </x:c>
      <x:c r="O170" s="66" t="n">
        <x:v>0.0251805144506278</x:v>
      </x:c>
      <x:c r="P170" s="66" t="n">
        <x:v>-0.0230198220769073</x:v>
      </x:c>
      <x:c r="Q170" s="66" t="n">
        <x:v>6.40021000692774e-9</x:v>
      </x:c>
      <x:c r="R170" s="66" t="str">
        <x:v>C:\Users\admin\.codex\.chatgpt-projects\g-p-6910508be2a081919b9cb5881a96c92b\overnight_refinement_2026-08-27\reports\169_13k_Mp1p45_Ap2_Op0p00001_ise_report.json</x:v>
      </x:c>
    </x:row>
    <x:row r="171">
      <x:c r="A171" s="66" t="str">
        <x:v>170_13k_Mp1p45_Ap2_Op0p0001_ise</x:v>
      </x:c>
      <x:c r="B171" s="66" t="str">
        <x:v>13k</x:v>
      </x:c>
      <x:c r="C171" s="66" t="n">
        <x:v>1.45</x:v>
      </x:c>
      <x:c r="D171" s="66" t="n">
        <x:v>2</x:v>
      </x:c>
      <x:c r="E171" s="66" t="n">
        <x:v>0.0001</x:v>
      </x:c>
      <x:c r="F171" s="66" t="str">
        <x:v>isentropic</x:v>
      </x:c>
      <x:c r="G171" s="66" t="str">
        <x:v>FQRUP</x:v>
      </x:c>
      <x:c r="H171" s="66" t="str">
        <x:v>OK</x:v>
      </x:c>
      <x:c r="I171" s="66" t="n">
        <x:v>1</x:v>
      </x:c>
      <x:c r="J171" s="66" t="n">
        <x:v>0</x:v>
      </x:c>
      <x:c r="K171" s="66" t="n">
        <x:v>26.672</x:v>
      </x:c>
      <x:c r="L171" s="66" t="n">
        <x:v>0.0259654498168325</x:v>
      </x:c>
      <x:c r="M171" s="66" t="n">
        <x:v>-0.00150002655925283</x:v>
      </x:c>
      <x:c r="N171" s="66" t="n">
        <x:v>-0.0221228460353399</x:v>
      </x:c>
      <x:c r="O171" s="66" t="n">
        <x:v>0.0251775561741068</x:v>
      </x:c>
      <x:c r="P171" s="66" t="n">
        <x:v>-0.023015550525536</x:v>
      </x:c>
      <x:c r="Q171" s="66" t="n">
        <x:v>6.4339229063031e-8</x:v>
      </x:c>
      <x:c r="R171" s="66" t="str">
        <x:v>C:\Users\admin\.codex\.chatgpt-projects\g-p-6910508be2a081919b9cb5881a96c92b\overnight_refinement_2026-08-27\reports\170_13k_Mp1p45_Ap2_Op0p0001_ise_report.json</x:v>
      </x:c>
    </x:row>
    <x:row r="172">
      <x:c r="A172" s="66" t="str">
        <x:v>171_13k_Mp1p45_Ap4_Op0p00001_ise</x:v>
      </x:c>
      <x:c r="B172" s="66" t="str">
        <x:v>13k</x:v>
      </x:c>
      <x:c r="C172" s="66" t="n">
        <x:v>1.45</x:v>
      </x:c>
      <x:c r="D172" s="66" t="n">
        <x:v>4</x:v>
      </x:c>
      <x:c r="E172" s="66" t="n">
        <x:v>0.00001</x:v>
      </x:c>
      <x:c r="F172" s="66" t="str">
        <x:v>isentropic</x:v>
      </x:c>
      <x:c r="G172" s="66" t="str">
        <x:v>FQRUP</x:v>
      </x:c>
      <x:c r="H172" s="66" t="str">
        <x:v>OK</x:v>
      </x:c>
      <x:c r="I172" s="66" t="n">
        <x:v>1</x:v>
      </x:c>
      <x:c r="J172" s="66" t="n">
        <x:v>0</x:v>
      </x:c>
      <x:c r="K172" s="66" t="n">
        <x:v>26.796</x:v>
      </x:c>
      <x:c r="L172" s="66" t="n">
        <x:v>0.0240565182741884</x:v>
      </x:c>
      <x:c r="M172" s="66" t="n">
        <x:v>-0.00415633260671303</x:v>
      </x:c>
      <x:c r="N172" s="66" t="n">
        <x:v>0.0121080337817025</x:v>
      </x:c>
      <x:c r="O172" s="66" t="n">
        <x:v>0.0248425315453352</x:v>
      </x:c>
      <x:c r="P172" s="66" t="n">
        <x:v>0.0104004413345894</x:v>
      </x:c>
      <x:c r="Q172" s="66" t="n">
        <x:v>7.11083298303712e-9</x:v>
      </x:c>
      <x:c r="R172" s="66" t="str">
        <x:v>C:\Users\admin\.codex\.chatgpt-projects\g-p-6910508be2a081919b9cb5881a96c92b\overnight_refinement_2026-08-27\reports\171_13k_Mp1p45_Ap4_Op0p00001_ise_report.json</x:v>
      </x:c>
    </x:row>
    <x:row r="173">
      <x:c r="A173" s="66" t="str">
        <x:v>172_13k_Mp1p45_Ap4_Op0p0001_ise</x:v>
      </x:c>
      <x:c r="B173" s="66" t="str">
        <x:v>13k</x:v>
      </x:c>
      <x:c r="C173" s="66" t="n">
        <x:v>1.45</x:v>
      </x:c>
      <x:c r="D173" s="66" t="n">
        <x:v>4</x:v>
      </x:c>
      <x:c r="E173" s="66" t="n">
        <x:v>0.0001</x:v>
      </x:c>
      <x:c r="F173" s="66" t="str">
        <x:v>isentropic</x:v>
      </x:c>
      <x:c r="G173" s="66" t="str">
        <x:v>FQRUP</x:v>
      </x:c>
      <x:c r="H173" s="66" t="str">
        <x:v>OK</x:v>
      </x:c>
      <x:c r="I173" s="66" t="n">
        <x:v>1</x:v>
      </x:c>
      <x:c r="J173" s="66" t="n">
        <x:v>0</x:v>
      </x:c>
      <x:c r="K173" s="66" t="n">
        <x:v>26.735</x:v>
      </x:c>
      <x:c r="L173" s="66" t="n">
        <x:v>0.0240540917750977</x:v>
      </x:c>
      <x:c r="M173" s="66" t="n">
        <x:v>-0.0041532860639883</x:v>
      </x:c>
      <x:c r="N173" s="66" t="n">
        <x:v>0.0120961028560749</x:v>
      </x:c>
      <x:c r="O173" s="66" t="n">
        <x:v>0.024839278697774</x:v>
      </x:c>
      <x:c r="P173" s="66" t="n">
        <x:v>0.0103887087361171</x:v>
      </x:c>
      <x:c r="Q173" s="66" t="n">
        <x:v>7.14221100751342e-8</x:v>
      </x:c>
      <x:c r="R173" s="66" t="str">
        <x:v>C:\Users\admin\.codex\.chatgpt-projects\g-p-6910508be2a081919b9cb5881a96c92b\overnight_refinement_2026-08-27\reports\172_13k_Mp1p45_Ap4_Op0p0001_ise_report.json</x:v>
      </x:c>
    </x:row>
    <x:row r="174">
      <x:c r="A174" s="66" t="str">
        <x:v>173_13k_Mp1p5_Am4_Op0p00001_ise</x:v>
      </x:c>
      <x:c r="B174" s="66" t="str">
        <x:v>13k</x:v>
      </x:c>
      <x:c r="C174" s="66" t="n">
        <x:v>1.5</x:v>
      </x:c>
      <x:c r="D174" s="66" t="n">
        <x:v>-4</x:v>
      </x:c>
      <x:c r="E174" s="66" t="n">
        <x:v>0.00001</x:v>
      </x:c>
      <x:c r="F174" s="66" t="str">
        <x:v>isentropic</x:v>
      </x:c>
      <x:c r="G174" s="66" t="str">
        <x:v>FQRUP</x:v>
      </x:c>
      <x:c r="H174" s="66" t="str">
        <x:v>OK</x:v>
      </x:c>
      <x:c r="I174" s="66" t="n">
        <x:v>1</x:v>
      </x:c>
      <x:c r="J174" s="66" t="n">
        <x:v>0</x:v>
      </x:c>
      <x:c r="K174" s="66" t="n">
        <x:v>24.875</x:v>
      </x:c>
      <x:c r="L174" s="66" t="n">
        <x:v>-0.0255075360071812</x:v>
      </x:c>
      <x:c r="M174" s="66" t="n">
        <x:v>0.000578933113600897</x:v>
      </x:c>
      <x:c r="N174" s="66" t="n">
        <x:v>0.000900930097493549</x:v>
      </x:c>
      <x:c r="O174" s="66" t="n">
        <x:v>-0.0255082466381631</x:v>
      </x:c>
      <x:c r="P174" s="66" t="n">
        <x:v>-0.000880580288705623</x:v>
      </x:c>
      <x:c r="Q174" s="66" t="n">
        <x:v>4.75016047611237e-9</x:v>
      </x:c>
      <x:c r="R174" s="66" t="str">
        <x:v>C:\Users\admin\.codex\.chatgpt-projects\g-p-6910508be2a081919b9cb5881a96c92b\overnight_refinement_2026-08-27\reports\173_13k_Mp1p5_Am4_Op0p00001_ise_report.json</x:v>
      </x:c>
    </x:row>
    <x:row r="175">
      <x:c r="A175" s="66" t="str">
        <x:v>174_13k_Mp1p5_Am4_Op0p0001_ise</x:v>
      </x:c>
      <x:c r="B175" s="66" t="str">
        <x:v>13k</x:v>
      </x:c>
      <x:c r="C175" s="66" t="n">
        <x:v>1.5</x:v>
      </x:c>
      <x:c r="D175" s="66" t="n">
        <x:v>-4</x:v>
      </x:c>
      <x:c r="E175" s="66" t="n">
        <x:v>0.0001</x:v>
      </x:c>
      <x:c r="F175" s="66" t="str">
        <x:v>isentropic</x:v>
      </x:c>
      <x:c r="G175" s="66" t="str">
        <x:v>FQRUP</x:v>
      </x:c>
      <x:c r="H175" s="66" t="str">
        <x:v>OK</x:v>
      </x:c>
      <x:c r="I175" s="66" t="n">
        <x:v>1</x:v>
      </x:c>
      <x:c r="J175" s="66" t="n">
        <x:v>0</x:v>
      </x:c>
      <x:c r="K175" s="66" t="n">
        <x:v>24.844</x:v>
      </x:c>
      <x:c r="L175" s="66" t="n">
        <x:v>-0.0254357933945901</x:v>
      </x:c>
      <x:c r="M175" s="66" t="n">
        <x:v>0.00107176478340267</x:v>
      </x:c>
      <x:c r="N175" s="66" t="n">
        <x:v>0.00138175753802734</x:v>
      </x:c>
      <x:c r="O175" s="66" t="n">
        <x:v>-0.0254702196137015</x:v>
      </x:c>
      <x:c r="P175" s="66" t="n">
        <x:v>-0.000395919607979124</x:v>
      </x:c>
      <x:c r="Q175" s="66" t="n">
        <x:v>4.7766916524881e-8</x:v>
      </x:c>
      <x:c r="R175" s="66" t="str">
        <x:v>C:\Users\admin\.codex\.chatgpt-projects\g-p-6910508be2a081919b9cb5881a96c92b\overnight_refinement_2026-08-27\reports\174_13k_Mp1p5_Am4_Op0p0001_ise_report.json</x:v>
      </x:c>
    </x:row>
    <x:row r="176">
      <x:c r="A176" s="66" t="str">
        <x:v>175_13k_Mp1p5_Am2_Op0p00001_ise</x:v>
      </x:c>
      <x:c r="B176" s="66" t="str">
        <x:v>13k</x:v>
      </x:c>
      <x:c r="C176" s="66" t="n">
        <x:v>1.5</x:v>
      </x:c>
      <x:c r="D176" s="66" t="n">
        <x:v>-2</x:v>
      </x:c>
      <x:c r="E176" s="66" t="n">
        <x:v>0.00001</x:v>
      </x:c>
      <x:c r="F176" s="66" t="str">
        <x:v>isentropic</x:v>
      </x:c>
      <x:c r="G176" s="66" t="str">
        <x:v>FQRUP</x:v>
      </x:c>
      <x:c r="H176" s="66" t="str">
        <x:v>OK</x:v>
      </x:c>
      <x:c r="I176" s="66" t="n">
        <x:v>1</x:v>
      </x:c>
      <x:c r="J176" s="66" t="n">
        <x:v>0</x:v>
      </x:c>
      <x:c r="K176" s="66" t="n">
        <x:v>25.062</x:v>
      </x:c>
      <x:c r="L176" s="66" t="n">
        <x:v>0.0294216251085321</x:v>
      </x:c>
      <x:c r="M176" s="66" t="n">
        <x:v>-0.00100046606637639</x:v>
      </x:c>
      <x:c r="N176" s="66" t="n">
        <x:v>0.0207437221298344</x:v>
      </x:c>
      <x:c r="O176" s="66" t="n">
        <x:v>0.0286797567873939</x:v>
      </x:c>
      <x:c r="P176" s="66" t="n">
        <x:v>0.021757885523247</x:v>
      </x:c>
      <x:c r="Q176" s="66" t="n">
        <x:v>4.77155180720584e-9</x:v>
      </x:c>
      <x:c r="R176" s="66" t="str">
        <x:v>C:\Users\admin\.codex\.chatgpt-projects\g-p-6910508be2a081919b9cb5881a96c92b\overnight_refinement_2026-08-27\reports\175_13k_Mp1p5_Am2_Op0p00001_ise_report.json</x:v>
      </x:c>
    </x:row>
    <x:row r="177">
      <x:c r="A177" s="66" t="str">
        <x:v>176_13k_Mp1p5_Am2_Op0p0001_ise</x:v>
      </x:c>
      <x:c r="B177" s="66" t="str">
        <x:v>13k</x:v>
      </x:c>
      <x:c r="C177" s="66" t="n">
        <x:v>1.5</x:v>
      </x:c>
      <x:c r="D177" s="66" t="n">
        <x:v>-2</x:v>
      </x:c>
      <x:c r="E177" s="66" t="n">
        <x:v>0.0001</x:v>
      </x:c>
      <x:c r="F177" s="66" t="str">
        <x:v>isentropic</x:v>
      </x:c>
      <x:c r="G177" s="66" t="str">
        <x:v>FQRUP</x:v>
      </x:c>
      <x:c r="H177" s="66" t="str">
        <x:v>OK</x:v>
      </x:c>
      <x:c r="I177" s="66" t="n">
        <x:v>1</x:v>
      </x:c>
      <x:c r="J177" s="66" t="n">
        <x:v>0</x:v>
      </x:c>
      <x:c r="K177" s="66" t="n">
        <x:v>25.203</x:v>
      </x:c>
      <x:c r="L177" s="66" t="n">
        <x:v>0.029422364730608</x:v>
      </x:c>
      <x:c r="M177" s="66" t="n">
        <x:v>-0.000998079045397229</x:v>
      </x:c>
      <x:c r="N177" s="66" t="n">
        <x:v>0.0207497497076899</x:v>
      </x:c>
      <x:c r="O177" s="66" t="n">
        <x:v>0.0286802855994786</x:v>
      </x:c>
      <x:c r="P177" s="66" t="n">
        <x:v>0.0217639352417031</x:v>
      </x:c>
      <x:c r="Q177" s="66" t="n">
        <x:v>4.80800059274219e-8</x:v>
      </x:c>
      <x:c r="R177" s="66" t="str">
        <x:v>C:\Users\admin\.codex\.chatgpt-projects\g-p-6910508be2a081919b9cb5881a96c92b\overnight_refinement_2026-08-27\reports\176_13k_Mp1p5_Am2_Op0p0001_ise_report.json</x:v>
      </x:c>
    </x:row>
    <x:row r="178">
      <x:c r="A178" s="66" t="str">
        <x:v>177_13k_Mp1p5_Ap0_Op0p00001_ise</x:v>
      </x:c>
      <x:c r="B178" s="66" t="str">
        <x:v>13k</x:v>
      </x:c>
      <x:c r="C178" s="66" t="n">
        <x:v>1.5</x:v>
      </x:c>
      <x:c r="D178" s="66" t="n">
        <x:v>0</x:v>
      </x:c>
      <x:c r="E178" s="66" t="n">
        <x:v>0.00001</x:v>
      </x:c>
      <x:c r="F178" s="66" t="str">
        <x:v>isentropic</x:v>
      </x:c>
      <x:c r="G178" s="66" t="str">
        <x:v>FQRUP</x:v>
      </x:c>
      <x:c r="H178" s="66" t="str">
        <x:v>OK</x:v>
      </x:c>
      <x:c r="I178" s="66" t="n">
        <x:v>1</x:v>
      </x:c>
      <x:c r="J178" s="66" t="n">
        <x:v>0</x:v>
      </x:c>
      <x:c r="K178" s="66" t="n">
        <x:v>24.922</x:v>
      </x:c>
      <x:c r="L178" s="66" t="n">
        <x:v>0.0302605784039715</x:v>
      </x:c>
      <x:c r="M178" s="66" t="n">
        <x:v>-0.000641089947383743</x:v>
      </x:c>
      <x:c r="N178" s="66" t="n">
        <x:v>0.0027884532977809</x:v>
      </x:c>
      <x:c r="O178" s="66" t="n">
        <x:v>0.0302605784039715</x:v>
      </x:c>
      <x:c r="P178" s="66" t="n">
        <x:v>0.0027884532977809</x:v>
      </x:c>
      <x:c r="Q178" s="66" t="n">
        <x:v>5.16817247085266e-9</x:v>
      </x:c>
      <x:c r="R178" s="66" t="str">
        <x:v>C:\Users\admin\.codex\.chatgpt-projects\g-p-6910508be2a081919b9cb5881a96c92b\overnight_refinement_2026-08-27\reports\177_13k_Mp1p5_Ap0_Op0p00001_ise_report.json</x:v>
      </x:c>
    </x:row>
    <x:row r="179">
      <x:c r="A179" s="66" t="str">
        <x:v>178_13k_Mp1p5_Ap0_Op0p0001_ise</x:v>
      </x:c>
      <x:c r="B179" s="66" t="str">
        <x:v>13k</x:v>
      </x:c>
      <x:c r="C179" s="66" t="n">
        <x:v>1.5</x:v>
      </x:c>
      <x:c r="D179" s="66" t="n">
        <x:v>0</x:v>
      </x:c>
      <x:c r="E179" s="66" t="n">
        <x:v>0.0001</x:v>
      </x:c>
      <x:c r="F179" s="66" t="str">
        <x:v>isentropic</x:v>
      </x:c>
      <x:c r="G179" s="66" t="str">
        <x:v>FQRUP</x:v>
      </x:c>
      <x:c r="H179" s="66" t="str">
        <x:v>OK</x:v>
      </x:c>
      <x:c r="I179" s="66" t="n">
        <x:v>1</x:v>
      </x:c>
      <x:c r="J179" s="66" t="n">
        <x:v>0</x:v>
      </x:c>
      <x:c r="K179" s="66" t="n">
        <x:v>25.14</x:v>
      </x:c>
      <x:c r="L179" s="66" t="n">
        <x:v>0.0302421534171495</x:v>
      </x:c>
      <x:c r="M179" s="66" t="n">
        <x:v>-0.000693502633417729</x:v>
      </x:c>
      <x:c r="N179" s="66" t="n">
        <x:v>0.00281333404977886</x:v>
      </x:c>
      <x:c r="O179" s="66" t="n">
        <x:v>0.0302421534171495</x:v>
      </x:c>
      <x:c r="P179" s="66" t="n">
        <x:v>0.00281333404977886</x:v>
      </x:c>
      <x:c r="Q179" s="66" t="n">
        <x:v>5.20858398943039e-8</x:v>
      </x:c>
      <x:c r="R179" s="66" t="str">
        <x:v>C:\Users\admin\.codex\.chatgpt-projects\g-p-6910508be2a081919b9cb5881a96c92b\overnight_refinement_2026-08-27\reports\178_13k_Mp1p5_Ap0_Op0p0001_ise_report.json</x:v>
      </x:c>
    </x:row>
    <x:row r="180">
      <x:c r="A180" s="66" t="str">
        <x:v>179_13k_Mp1p5_Ap2_Op0p00001_ise</x:v>
      </x:c>
      <x:c r="B180" s="66" t="str">
        <x:v>13k</x:v>
      </x:c>
      <x:c r="C180" s="66" t="n">
        <x:v>1.5</x:v>
      </x:c>
      <x:c r="D180" s="66" t="n">
        <x:v>2</x:v>
      </x:c>
      <x:c r="E180" s="66" t="n">
        <x:v>0.00001</x:v>
      </x:c>
      <x:c r="F180" s="66" t="str">
        <x:v>isentropic</x:v>
      </x:c>
      <x:c r="G180" s="66" t="str">
        <x:v>FQRUP</x:v>
      </x:c>
      <x:c r="H180" s="66" t="str">
        <x:v>OK</x:v>
      </x:c>
      <x:c r="I180" s="66" t="n">
        <x:v>1</x:v>
      </x:c>
      <x:c r="J180" s="66" t="n">
        <x:v>0</x:v>
      </x:c>
      <x:c r="K180" s="66" t="n">
        <x:v>24.438</x:v>
      </x:c>
      <x:c r="L180" s="66" t="n">
        <x:v>0.0281052349644298</x:v>
      </x:c>
      <x:c r="M180" s="66" t="n">
        <x:v>-0.00091205654486826</x:v>
      </x:c>
      <x:c r="N180" s="66" t="n">
        <x:v>-0.011959589945444</x:v>
      </x:c>
      <x:c r="O180" s="66" t="n">
        <x:v>0.0276707303448032</x:v>
      </x:c>
      <x:c r="P180" s="66" t="n">
        <x:v>-0.0129331630413507</x:v>
      </x:c>
      <x:c r="Q180" s="66" t="n">
        <x:v>5.81323260861712e-9</x:v>
      </x:c>
      <x:c r="R180" s="66" t="str">
        <x:v>C:\Users\admin\.codex\.chatgpt-projects\g-p-6910508be2a081919b9cb5881a96c92b\overnight_refinement_2026-08-27\reports\179_13k_Mp1p5_Ap2_Op0p00001_ise_report.json</x:v>
      </x:c>
    </x:row>
    <x:row r="181">
      <x:c r="A181" s="66" t="str">
        <x:v>180_13k_Mp1p5_Ap2_Op0p0001_ise</x:v>
      </x:c>
      <x:c r="B181" s="66" t="str">
        <x:v>13k</x:v>
      </x:c>
      <x:c r="C181" s="66" t="n">
        <x:v>1.5</x:v>
      </x:c>
      <x:c r="D181" s="66" t="n">
        <x:v>2</x:v>
      </x:c>
      <x:c r="E181" s="66" t="n">
        <x:v>0.0001</x:v>
      </x:c>
      <x:c r="F181" s="66" t="str">
        <x:v>isentropic</x:v>
      </x:c>
      <x:c r="G181" s="66" t="str">
        <x:v>FQRUP</x:v>
      </x:c>
      <x:c r="H181" s="66" t="str">
        <x:v>OK</x:v>
      </x:c>
      <x:c r="I181" s="66" t="n">
        <x:v>1</x:v>
      </x:c>
      <x:c r="J181" s="66" t="n">
        <x:v>0</x:v>
      </x:c>
      <x:c r="K181" s="66" t="n">
        <x:v>24.14</x:v>
      </x:c>
      <x:c r="L181" s="66" t="n">
        <x:v>0.0281025948365946</x:v>
      </x:c>
      <x:c r="M181" s="66" t="n">
        <x:v>-0.000908289682487943</x:v>
      </x:c>
      <x:c r="N181" s="66" t="n">
        <x:v>-0.0119659185532737</x:v>
      </x:c>
      <x:c r="O181" s="66" t="n">
        <x:v>0.0276678709600345</x:v>
      </x:c>
      <x:c r="P181" s="66" t="n">
        <x:v>-0.0129393956548308</x:v>
      </x:c>
      <x:c r="Q181" s="66" t="n">
        <x:v>5.84102796715318e-8</x:v>
      </x:c>
      <x:c r="R181" s="66" t="str">
        <x:v>C:\Users\admin\.codex\.chatgpt-projects\g-p-6910508be2a081919b9cb5881a96c92b\overnight_refinement_2026-08-27\reports\180_13k_Mp1p5_Ap2_Op0p0001_ise_report.json</x:v>
      </x:c>
    </x:row>
    <x:row r="182">
      <x:c r="A182" s="66" t="str">
        <x:v>181_13k_Mp1p5_Ap4_Op0p00001_ise</x:v>
      </x:c>
      <x:c r="B182" s="66" t="str">
        <x:v>13k</x:v>
      </x:c>
      <x:c r="C182" s="66" t="n">
        <x:v>1.5</x:v>
      </x:c>
      <x:c r="D182" s="66" t="n">
        <x:v>4</x:v>
      </x:c>
      <x:c r="E182" s="66" t="n">
        <x:v>0.00001</x:v>
      </x:c>
      <x:c r="F182" s="66" t="str">
        <x:v>isentropic</x:v>
      </x:c>
      <x:c r="G182" s="66" t="str">
        <x:v>FQRUP</x:v>
      </x:c>
      <x:c r="H182" s="66" t="str">
        <x:v>OK</x:v>
      </x:c>
      <x:c r="I182" s="66" t="n">
        <x:v>1</x:v>
      </x:c>
      <x:c r="J182" s="66" t="n">
        <x:v>0</x:v>
      </x:c>
      <x:c r="K182" s="66" t="n">
        <x:v>24.5</x:v>
      </x:c>
      <x:c r="L182" s="66" t="n">
        <x:v>0.0246621845934494</x:v>
      </x:c>
      <x:c r="M182" s="66" t="n">
        <x:v>-0.00103571651776391</x:v>
      </x:c>
      <x:c r="N182" s="66" t="n">
        <x:v>0.0253927627186615</x:v>
      </x:c>
      <x:c r="O182" s="66" t="n">
        <x:v>0.0263734183371719</x:v>
      </x:c>
      <x:c r="P182" s="66" t="n">
        <x:v>0.0236105601928489</x:v>
      </x:c>
      <x:c r="Q182" s="66" t="n">
        <x:v>6.57967463817782e-9</x:v>
      </x:c>
      <x:c r="R182" s="66" t="str">
        <x:v>C:\Users\admin\.codex\.chatgpt-projects\g-p-6910508be2a081919b9cb5881a96c92b\overnight_refinement_2026-08-27\reports\181_13k_Mp1p5_Ap4_Op0p00001_ise_report.json</x:v>
      </x:c>
    </x:row>
    <x:row r="183">
      <x:c r="A183" s="66" t="str">
        <x:v>182_13k_Mp1p5_Ap4_Op0p0001_ise</x:v>
      </x:c>
      <x:c r="B183" s="66" t="str">
        <x:v>13k</x:v>
      </x:c>
      <x:c r="C183" s="66" t="n">
        <x:v>1.5</x:v>
      </x:c>
      <x:c r="D183" s="66" t="n">
        <x:v>4</x:v>
      </x:c>
      <x:c r="E183" s="66" t="n">
        <x:v>0.0001</x:v>
      </x:c>
      <x:c r="F183" s="66" t="str">
        <x:v>isentropic</x:v>
      </x:c>
      <x:c r="G183" s="66" t="str">
        <x:v>FQRUP</x:v>
      </x:c>
      <x:c r="H183" s="66" t="str">
        <x:v>OK</x:v>
      </x:c>
      <x:c r="I183" s="66" t="n">
        <x:v>1</x:v>
      </x:c>
      <x:c r="J183" s="66" t="n">
        <x:v>0</x:v>
      </x:c>
      <x:c r="K183" s="66" t="n">
        <x:v>24.594</x:v>
      </x:c>
      <x:c r="L183" s="66" t="n">
        <x:v>0.0246544094592066</x:v>
      </x:c>
      <x:c r="M183" s="66" t="n">
        <x:v>-0.00102460877331296</x:v>
      </x:c>
      <x:c r="N183" s="66" t="n">
        <x:v>0.0253945832702215</x:v>
      </x:c>
      <x:c r="O183" s="66" t="n">
        <x:v>0.0263657891380225</x:v>
      </x:c>
      <x:c r="P183" s="66" t="n">
        <x:v>0.0236129186755845</x:v>
      </x:c>
      <x:c r="Q183" s="66" t="n">
        <x:v>6.61896127403687e-8</x:v>
      </x:c>
      <x:c r="R183" s="66" t="str">
        <x:v>C:\Users\admin\.codex\.chatgpt-projects\g-p-6910508be2a081919b9cb5881a96c92b\overnight_refinement_2026-08-27\reports\182_13k_Mp1p5_Ap4_Op0p0001_ise_report.json</x:v>
      </x:c>
    </x:row>
    <x:row r="184">
      <x:c r="A184" s="66" t="str">
        <x:v>183_13k_Mp1p55_Ap0_Op0p00001_ise</x:v>
      </x:c>
      <x:c r="B184" s="66" t="str">
        <x:v>13k</x:v>
      </x:c>
      <x:c r="C184" s="66" t="n">
        <x:v>1.55</x:v>
      </x:c>
      <x:c r="D184" s="66" t="n">
        <x:v>0</x:v>
      </x:c>
      <x:c r="E184" s="66" t="n">
        <x:v>0.00001</x:v>
      </x:c>
      <x:c r="F184" s="66" t="str">
        <x:v>isentropic</x:v>
      </x:c>
      <x:c r="G184" s="66" t="str">
        <x:v>FQRUP</x:v>
      </x:c>
      <x:c r="H184" s="66" t="str">
        <x:v>OK</x:v>
      </x:c>
      <x:c r="I184" s="66" t="n">
        <x:v>1</x:v>
      </x:c>
      <x:c r="J184" s="66" t="n">
        <x:v>0</x:v>
      </x:c>
      <x:c r="K184" s="66" t="n">
        <x:v>23.14</x:v>
      </x:c>
      <x:c r="L184" s="66" t="n">
        <x:v>0.0275136988464304</x:v>
      </x:c>
      <x:c r="M184" s="66" t="n">
        <x:v>-0.00149560691748265</x:v>
      </x:c>
      <x:c r="N184" s="66" t="n">
        <x:v>0.00845858896022379</x:v>
      </x:c>
      <x:c r="O184" s="66" t="n">
        <x:v>0.0275136988464304</x:v>
      </x:c>
      <x:c r="P184" s="66" t="n">
        <x:v>0.00845858896022379</x:v>
      </x:c>
      <x:c r="Q184" s="66" t="n">
        <x:v>4.48547500793455e-9</x:v>
      </x:c>
      <x:c r="R184" s="66" t="str">
        <x:v>C:\Users\admin\.codex\.chatgpt-projects\g-p-6910508be2a081919b9cb5881a96c92b\overnight_refinement_2026-08-27\reports\183_13k_Mp1p55_Ap0_Op0p00001_ise_report.json</x:v>
      </x:c>
    </x:row>
    <x:row r="185">
      <x:c r="A185" s="66" t="str">
        <x:v>184_13k_Mp1p55_Ap0_Op0p0001_ise</x:v>
      </x:c>
      <x:c r="B185" s="66" t="str">
        <x:v>13k</x:v>
      </x:c>
      <x:c r="C185" s="66" t="n">
        <x:v>1.55</x:v>
      </x:c>
      <x:c r="D185" s="66" t="n">
        <x:v>0</x:v>
      </x:c>
      <x:c r="E185" s="66" t="n">
        <x:v>0.0001</x:v>
      </x:c>
      <x:c r="F185" s="66" t="str">
        <x:v>isentropic</x:v>
      </x:c>
      <x:c r="G185" s="66" t="str">
        <x:v>FQRUP</x:v>
      </x:c>
      <x:c r="H185" s="66" t="str">
        <x:v>OK</x:v>
      </x:c>
      <x:c r="I185" s="66" t="n">
        <x:v>1</x:v>
      </x:c>
      <x:c r="J185" s="66" t="n">
        <x:v>0</x:v>
      </x:c>
      <x:c r="K185" s="66" t="n">
        <x:v>22.985</x:v>
      </x:c>
      <x:c r="L185" s="66" t="n">
        <x:v>0.0275130252729418</x:v>
      </x:c>
      <x:c r="M185" s="66" t="n">
        <x:v>-0.00149552174879276</x:v>
      </x:c>
      <x:c r="N185" s="66" t="n">
        <x:v>0.00845366543425389</x:v>
      </x:c>
      <x:c r="O185" s="66" t="n">
        <x:v>0.0275130252729418</x:v>
      </x:c>
      <x:c r="P185" s="66" t="n">
        <x:v>0.00845366543425389</x:v>
      </x:c>
      <x:c r="Q185" s="66" t="n">
        <x:v>4.53036718046692e-8</x:v>
      </x:c>
      <x:c r="R185" s="66" t="str">
        <x:v>C:\Users\admin\.codex\.chatgpt-projects\g-p-6910508be2a081919b9cb5881a96c92b\overnight_refinement_2026-08-27\reports\184_13k_Mp1p55_Ap0_Op0p0001_ise_report.json</x:v>
      </x:c>
    </x:row>
    <x:row r="186">
      <x:c r="A186" s="66" t="str">
        <x:v>185_21k_Mp1p1_Am4_Op0p00001_ise</x:v>
      </x:c>
      <x:c r="B186" s="66" t="str">
        <x:v>21k</x:v>
      </x:c>
      <x:c r="C186" s="66" t="n">
        <x:v>1.1</x:v>
      </x:c>
      <x:c r="D186" s="66" t="n">
        <x:v>-4</x:v>
      </x:c>
      <x:c r="E186" s="66" t="n">
        <x:v>0.00001</x:v>
      </x:c>
      <x:c r="F186" s="66" t="str">
        <x:v>isentropic</x:v>
      </x:c>
      <x:c r="G186" s="66" t="str">
        <x:v>FQRUP</x:v>
      </x:c>
      <x:c r="H186" s="66" t="str">
        <x:v>OK</x:v>
      </x:c>
      <x:c r="I186" s="66" t="n">
        <x:v>1</x:v>
      </x:c>
      <x:c r="J186" s="66" t="n">
        <x:v>0</x:v>
      </x:c>
      <x:c r="K186" s="66" t="n">
        <x:v>131.125</x:v>
      </x:c>
      <x:c r="L186" s="66" t="n">
        <x:v>0.0361325529416635</x:v>
      </x:c>
      <x:c r="M186" s="66" t="n">
        <x:v>-0.00833323018971767</x:v>
      </x:c>
      <x:c r="N186" s="66" t="n">
        <x:v>-0.068348893520062</x:v>
      </x:c>
      <x:c r="O186" s="66" t="n">
        <x:v>0.0408123136549856</x:v>
      </x:c>
      <x:c r="P186" s="66" t="n">
        <x:v>-0.0656619195700671</x:v>
      </x:c>
      <x:c r="Q186" s="66" t="n">
        <x:v>6.45483564992584e-9</x:v>
      </x:c>
      <x:c r="R186" s="66" t="str">
        <x:v>C:\Users\admin\.codex\.chatgpt-projects\g-p-6910508be2a081919b9cb5881a96c92b\overnight_refinement_2026-08-27\reports\185_21k_Mp1p1_Am4_Op0p00001_ise_report.json</x:v>
      </x:c>
    </x:row>
    <x:row r="187">
      <x:c r="A187" s="66" t="str">
        <x:v>186_21k_Mp1p1_Am4_Op0p0001_ise</x:v>
      </x:c>
      <x:c r="B187" s="66" t="str">
        <x:v>21k</x:v>
      </x:c>
      <x:c r="C187" s="66" t="n">
        <x:v>1.1</x:v>
      </x:c>
      <x:c r="D187" s="66" t="n">
        <x:v>-4</x:v>
      </x:c>
      <x:c r="E187" s="66" t="n">
        <x:v>0.0001</x:v>
      </x:c>
      <x:c r="F187" s="66" t="str">
        <x:v>isentropic</x:v>
      </x:c>
      <x:c r="G187" s="66" t="str">
        <x:v>FQRUP</x:v>
      </x:c>
      <x:c r="H187" s="66" t="str">
        <x:v>OK</x:v>
      </x:c>
      <x:c r="I187" s="66" t="n">
        <x:v>1</x:v>
      </x:c>
      <x:c r="J187" s="66" t="n">
        <x:v>0</x:v>
      </x:c>
      <x:c r="K187" s="66" t="n">
        <x:v>130.844</x:v>
      </x:c>
      <x:c r="L187" s="66" t="n">
        <x:v>0.0361209912046178</x:v>
      </x:c>
      <x:c r="M187" s="66" t="n">
        <x:v>-0.00833689469258908</x:v>
      </x:c>
      <x:c r="N187" s="66" t="n">
        <x:v>-0.0683265158390274</x:v>
      </x:c>
      <x:c r="O187" s="66" t="n">
        <x:v>0.0407992190936307</x:v>
      </x:c>
      <x:c r="P187" s="66" t="n">
        <x:v>-0.0656404029059455</x:v>
      </x:c>
      <x:c r="Q187" s="66" t="n">
        <x:v>6.45304242149537e-8</x:v>
      </x:c>
      <x:c r="R187" s="66" t="str">
        <x:v>C:\Users\admin\.codex\.chatgpt-projects\g-p-6910508be2a081919b9cb5881a96c92b\overnight_refinement_2026-08-27\reports\186_21k_Mp1p1_Am4_Op0p0001_ise_report.json</x:v>
      </x:c>
    </x:row>
    <x:row r="188">
      <x:c r="A188" s="66" t="str">
        <x:v>187_21k_Mp1p1_Am3_Op0p00001_ise</x:v>
      </x:c>
      <x:c r="B188" s="66" t="str">
        <x:v>21k</x:v>
      </x:c>
      <x:c r="C188" s="66" t="n">
        <x:v>1.1</x:v>
      </x:c>
      <x:c r="D188" s="66" t="n">
        <x:v>-3</x:v>
      </x:c>
      <x:c r="E188" s="66" t="n">
        <x:v>0.00001</x:v>
      </x:c>
      <x:c r="F188" s="66" t="str">
        <x:v>isentropic</x:v>
      </x:c>
      <x:c r="G188" s="66" t="str">
        <x:v>FQRUP</x:v>
      </x:c>
      <x:c r="H188" s="66" t="str">
        <x:v>OK</x:v>
      </x:c>
      <x:c r="I188" s="66" t="n">
        <x:v>1</x:v>
      </x:c>
      <x:c r="J188" s="66" t="n">
        <x:v>0</x:v>
      </x:c>
      <x:c r="K188" s="66" t="n">
        <x:v>130.266</x:v>
      </x:c>
      <x:c r="L188" s="66" t="n">
        <x:v>0.0392937854164954</x:v>
      </x:c>
      <x:c r="M188" s="66" t="n">
        <x:v>-0.00461905069225188</x:v>
      </x:c>
      <x:c r="N188" s="66" t="n">
        <x:v>-0.0325667436306597</x:v>
      </x:c>
      <x:c r="O188" s="66" t="n">
        <x:v>0.0409443463188502</x:v>
      </x:c>
      <x:c r="P188" s="66" t="n">
        <x:v>-0.0304656342061798</x:v>
      </x:c>
      <x:c r="Q188" s="66" t="n">
        <x:v>6.35862507863051e-9</x:v>
      </x:c>
      <x:c r="R188" s="66" t="str">
        <x:v>C:\Users\admin\.codex\.chatgpt-projects\g-p-6910508be2a081919b9cb5881a96c92b\overnight_refinement_2026-08-27\reports\187_21k_Mp1p1_Am3_Op0p00001_ise_report.json</x:v>
      </x:c>
    </x:row>
    <x:row r="189">
      <x:c r="A189" s="66" t="str">
        <x:v>188_21k_Mp1p1_Am3_Op0p0001_ise</x:v>
      </x:c>
      <x:c r="B189" s="66" t="str">
        <x:v>21k</x:v>
      </x:c>
      <x:c r="C189" s="66" t="n">
        <x:v>1.1</x:v>
      </x:c>
      <x:c r="D189" s="66" t="n">
        <x:v>-3</x:v>
      </x:c>
      <x:c r="E189" s="66" t="n">
        <x:v>0.0001</x:v>
      </x:c>
      <x:c r="F189" s="66" t="str">
        <x:v>isentropic</x:v>
      </x:c>
      <x:c r="G189" s="66" t="str">
        <x:v>FQRUP</x:v>
      </x:c>
      <x:c r="H189" s="66" t="str">
        <x:v>OK</x:v>
      </x:c>
      <x:c r="I189" s="66" t="n">
        <x:v>1</x:v>
      </x:c>
      <x:c r="J189" s="66" t="n">
        <x:v>0</x:v>
      </x:c>
      <x:c r="K189" s="66" t="n">
        <x:v>130.594</x:v>
      </x:c>
      <x:c r="L189" s="66" t="n">
        <x:v>0.0392833111602183</x:v>
      </x:c>
      <x:c r="M189" s="66" t="n">
        <x:v>-0.00462020456489474</x:v>
      </x:c>
      <x:c r="N189" s="66" t="n">
        <x:v>-0.0325517011118878</x:v>
      </x:c>
      <x:c r="O189" s="66" t="n">
        <x:v>0.0409330991525731</x:v>
      </x:c>
      <x:c r="P189" s="66" t="n">
        <x:v>-0.0304511604828753</x:v>
      </x:c>
      <x:c r="Q189" s="66" t="n">
        <x:v>6.24548610778786e-8</x:v>
      </x:c>
      <x:c r="R189" s="66" t="str">
        <x:v>C:\Users\admin\.codex\.chatgpt-projects\g-p-6910508be2a081919b9cb5881a96c92b\overnight_refinement_2026-08-27\reports\188_21k_Mp1p1_Am3_Op0p0001_ise_report.json</x:v>
      </x:c>
    </x:row>
    <x:row r="190">
      <x:c r="A190" s="66" t="str">
        <x:v>189_21k_Mp1p1_Am2_Op0p00001_ise</x:v>
      </x:c>
      <x:c r="B190" s="66" t="str">
        <x:v>21k</x:v>
      </x:c>
      <x:c r="C190" s="66" t="n">
        <x:v>1.1</x:v>
      </x:c>
      <x:c r="D190" s="66" t="n">
        <x:v>-2</x:v>
      </x:c>
      <x:c r="E190" s="66" t="n">
        <x:v>0.00001</x:v>
      </x:c>
      <x:c r="F190" s="66" t="str">
        <x:v>isentropic</x:v>
      </x:c>
      <x:c r="G190" s="66" t="str">
        <x:v>FQRUP</x:v>
      </x:c>
      <x:c r="H190" s="66" t="str">
        <x:v>OK</x:v>
      </x:c>
      <x:c r="I190" s="66" t="n">
        <x:v>1</x:v>
      </x:c>
      <x:c r="J190" s="66" t="n">
        <x:v>0</x:v>
      </x:c>
      <x:c r="K190" s="66" t="n">
        <x:v>131</x:v>
      </x:c>
      <x:c r="L190" s="66" t="n">
        <x:v>0.0418509261526503</x:v>
      </x:c>
      <x:c r="M190" s="66" t="n">
        <x:v>-0.00198011776190653</x:v>
      </x:c>
      <x:c r="N190" s="66" t="n">
        <x:v>-0.00824372609696138</x:v>
      </x:c>
      <x:c r="O190" s="66" t="n">
        <x:v>0.0421131335909495</x:v>
      </x:c>
      <x:c r="P190" s="66" t="n">
        <x:v>-0.0067781279825001</x:v>
      </x:c>
      <x:c r="Q190" s="66" t="n">
        <x:v>6.17584077079218e-9</x:v>
      </x:c>
      <x:c r="R190" s="66" t="str">
        <x:v>C:\Users\admin\.codex\.chatgpt-projects\g-p-6910508be2a081919b9cb5881a96c92b\overnight_refinement_2026-08-27\reports\189_21k_Mp1p1_Am2_Op0p00001_ise_report.json</x:v>
      </x:c>
    </x:row>
    <x:row r="191">
      <x:c r="A191" s="66" t="str">
        <x:v>190_21k_Mp1p1_Am2_Op0p0001_ise</x:v>
      </x:c>
      <x:c r="B191" s="66" t="str">
        <x:v>21k</x:v>
      </x:c>
      <x:c r="C191" s="66" t="n">
        <x:v>1.1</x:v>
      </x:c>
      <x:c r="D191" s="66" t="n">
        <x:v>-2</x:v>
      </x:c>
      <x:c r="E191" s="66" t="n">
        <x:v>0.0001</x:v>
      </x:c>
      <x:c r="F191" s="66" t="str">
        <x:v>isentropic</x:v>
      </x:c>
      <x:c r="G191" s="66" t="str">
        <x:v>FQRUP</x:v>
      </x:c>
      <x:c r="H191" s="66" t="str">
        <x:v>OK</x:v>
      </x:c>
      <x:c r="I191" s="66" t="n">
        <x:v>1</x:v>
      </x:c>
      <x:c r="J191" s="66" t="n">
        <x:v>0</x:v>
      </x:c>
      <x:c r="K191" s="66" t="n">
        <x:v>130.281</x:v>
      </x:c>
      <x:c r="L191" s="66" t="n">
        <x:v>0.0418404685507188</x:v>
      </x:c>
      <x:c r="M191" s="66" t="n">
        <x:v>-0.00198329150020308</x:v>
      </x:c>
      <x:c r="N191" s="66" t="n">
        <x:v>-0.00823137378829102</x:v>
      </x:c>
      <x:c r="O191" s="66" t="n">
        <x:v>0.0421022512701508</x:v>
      </x:c>
      <x:c r="P191" s="66" t="n">
        <x:v>-0.00676614816356656</x:v>
      </x:c>
      <x:c r="Q191" s="66" t="n">
        <x:v>6.17467606605217e-8</x:v>
      </x:c>
      <x:c r="R191" s="66" t="str">
        <x:v>C:\Users\admin\.codex\.chatgpt-projects\g-p-6910508be2a081919b9cb5881a96c92b\overnight_refinement_2026-08-27\reports\190_21k_Mp1p1_Am2_Op0p0001_ise_report.json</x:v>
      </x:c>
    </x:row>
    <x:row r="192">
      <x:c r="A192" s="66" t="str">
        <x:v>191_21k_Mp1p1_Am1_Op0p00001_ise</x:v>
      </x:c>
      <x:c r="B192" s="66" t="str">
        <x:v>21k</x:v>
      </x:c>
      <x:c r="C192" s="66" t="n">
        <x:v>1.1</x:v>
      </x:c>
      <x:c r="D192" s="66" t="n">
        <x:v>-1</x:v>
      </x:c>
      <x:c r="E192" s="66" t="n">
        <x:v>0.00001</x:v>
      </x:c>
      <x:c r="F192" s="66" t="str">
        <x:v>isentropic</x:v>
      </x:c>
      <x:c r="G192" s="66" t="str">
        <x:v>FQRUP</x:v>
      </x:c>
      <x:c r="H192" s="66" t="str">
        <x:v>OK</x:v>
      </x:c>
      <x:c r="I192" s="66" t="n">
        <x:v>1</x:v>
      </x:c>
      <x:c r="J192" s="66" t="n">
        <x:v>0</x:v>
      </x:c>
      <x:c r="K192" s="66" t="n">
        <x:v>129.594</x:v>
      </x:c>
      <x:c r="L192" s="66" t="n">
        <x:v>0.0434026591316706</x:v>
      </x:c>
      <x:c r="M192" s="66" t="n">
        <x:v>-0.000377670673713816</x:v>
      </x:c>
      <x:c r="N192" s="66" t="n">
        <x:v>0.00251869964078667</x:v>
      </x:c>
      <x:c r="O192" s="66" t="n">
        <x:v>0.0433520913266349</x:v>
      </x:c>
      <x:c r="P192" s="66" t="n">
        <x:v>0.00327579687825657</x:v>
      </x:c>
      <x:c r="Q192" s="66" t="n">
        <x:v>6.23921252459597e-9</x:v>
      </x:c>
      <x:c r="R192" s="66" t="str">
        <x:v>C:\Users\admin\.codex\.chatgpt-projects\g-p-6910508be2a081919b9cb5881a96c92b\overnight_refinement_2026-08-27\reports\191_21k_Mp1p1_Am1_Op0p00001_ise_report.json</x:v>
      </x:c>
    </x:row>
    <x:row r="193">
      <x:c r="A193" s="66" t="str">
        <x:v>192_21k_Mp1p1_Am1_Op0p0001_ise</x:v>
      </x:c>
      <x:c r="B193" s="66" t="str">
        <x:v>21k</x:v>
      </x:c>
      <x:c r="C193" s="66" t="n">
        <x:v>1.1</x:v>
      </x:c>
      <x:c r="D193" s="66" t="n">
        <x:v>-1</x:v>
      </x:c>
      <x:c r="E193" s="66" t="n">
        <x:v>0.0001</x:v>
      </x:c>
      <x:c r="F193" s="66" t="str">
        <x:v>isentropic</x:v>
      </x:c>
      <x:c r="G193" s="66" t="str">
        <x:v>FQRUP</x:v>
      </x:c>
      <x:c r="H193" s="66" t="str">
        <x:v>OK</x:v>
      </x:c>
      <x:c r="I193" s="66" t="n">
        <x:v>1</x:v>
      </x:c>
      <x:c r="J193" s="66" t="n">
        <x:v>0</x:v>
      </x:c>
      <x:c r="K193" s="66" t="n">
        <x:v>131.86</x:v>
      </x:c>
      <x:c r="L193" s="66" t="n">
        <x:v>0.0433926760915926</x:v>
      </x:c>
      <x:c r="M193" s="66" t="n">
        <x:v>-0.000377027385250042</x:v>
      </x:c>
      <x:c r="N193" s="66" t="n">
        <x:v>0.00253008806274759</x:v>
      </x:c>
      <x:c r="O193" s="66" t="n">
        <x:v>0.0433419110516535</x:v>
      </x:c>
      <x:c r="P193" s="66" t="n">
        <x:v>0.00328700933763275</x:v>
      </x:c>
      <x:c r="Q193" s="66" t="n">
        <x:v>6.23358366655353e-8</x:v>
      </x:c>
      <x:c r="R193" s="66" t="str">
        <x:v>C:\Users\admin\.codex\.chatgpt-projects\g-p-6910508be2a081919b9cb5881a96c92b\overnight_refinement_2026-08-27\reports\192_21k_Mp1p1_Am1_Op0p0001_ise_report.json</x:v>
      </x:c>
    </x:row>
    <x:row r="194">
      <x:c r="A194" s="66" t="str">
        <x:v>193_21k_Mp1p1_Ap0_Op0p00001_ise</x:v>
      </x:c>
      <x:c r="B194" s="66" t="str">
        <x:v>21k</x:v>
      </x:c>
      <x:c r="C194" s="66" t="n">
        <x:v>1.1</x:v>
      </x:c>
      <x:c r="D194" s="66" t="n">
        <x:v>0</x:v>
      </x:c>
      <x:c r="E194" s="66" t="n">
        <x:v>0.00001</x:v>
      </x:c>
      <x:c r="F194" s="66" t="str">
        <x:v>isentropic</x:v>
      </x:c>
      <x:c r="G194" s="66" t="str">
        <x:v>FQRUP</x:v>
      </x:c>
      <x:c r="H194" s="66" t="str">
        <x:v>OK</x:v>
      </x:c>
      <x:c r="I194" s="66" t="n">
        <x:v>1</x:v>
      </x:c>
      <x:c r="J194" s="66" t="n">
        <x:v>0</x:v>
      </x:c>
      <x:c r="K194" s="66" t="n">
        <x:v>130.375</x:v>
      </x:c>
      <x:c r="L194" s="66" t="n">
        <x:v>0.0444006901645248</x:v>
      </x:c>
      <x:c r="M194" s="66" t="n">
        <x:v>0.000344827952089007</x:v>
      </x:c>
      <x:c r="N194" s="66" t="n">
        <x:v>0.00225832387191634</x:v>
      </x:c>
      <x:c r="O194" s="66" t="n">
        <x:v>0.0444006901645248</x:v>
      </x:c>
      <x:c r="P194" s="66" t="n">
        <x:v>0.00225832387191634</x:v>
      </x:c>
      <x:c r="Q194" s="66" t="n">
        <x:v>6.12720817687872e-9</x:v>
      </x:c>
      <x:c r="R194" s="66" t="str">
        <x:v>C:\Users\admin\.codex\.chatgpt-projects\g-p-6910508be2a081919b9cb5881a96c92b\overnight_refinement_2026-08-27\reports\193_21k_Mp1p1_Ap0_Op0p00001_ise_report.json</x:v>
      </x:c>
    </x:row>
    <x:row r="195">
      <x:c r="A195" s="66" t="str">
        <x:v>194_21k_Mp1p1_Ap0_Op0p0001_ise</x:v>
      </x:c>
      <x:c r="B195" s="66" t="str">
        <x:v>21k</x:v>
      </x:c>
      <x:c r="C195" s="66" t="n">
        <x:v>1.1</x:v>
      </x:c>
      <x:c r="D195" s="66" t="n">
        <x:v>0</x:v>
      </x:c>
      <x:c r="E195" s="66" t="n">
        <x:v>0.0001</x:v>
      </x:c>
      <x:c r="F195" s="66" t="str">
        <x:v>isentropic</x:v>
      </x:c>
      <x:c r="G195" s="66" t="str">
        <x:v>FQRUP</x:v>
      </x:c>
      <x:c r="H195" s="66" t="str">
        <x:v>OK</x:v>
      </x:c>
      <x:c r="I195" s="66" t="n">
        <x:v>1</x:v>
      </x:c>
      <x:c r="J195" s="66" t="n">
        <x:v>0</x:v>
      </x:c>
      <x:c r="K195" s="66" t="n">
        <x:v>131.125</x:v>
      </x:c>
      <x:c r="L195" s="66" t="n">
        <x:v>0.0443912172745487</x:v>
      </x:c>
      <x:c r="M195" s="66" t="n">
        <x:v>0.00034814391371475</x:v>
      </x:c>
      <x:c r="N195" s="66" t="n">
        <x:v>0.00227197597666603</x:v>
      </x:c>
      <x:c r="O195" s="66" t="n">
        <x:v>0.0443912172745487</x:v>
      </x:c>
      <x:c r="P195" s="66" t="n">
        <x:v>0.00227197597666603</x:v>
      </x:c>
      <x:c r="Q195" s="66" t="n">
        <x:v>6.12268742433437e-8</x:v>
      </x:c>
      <x:c r="R195" s="66" t="str">
        <x:v>C:\Users\admin\.codex\.chatgpt-projects\g-p-6910508be2a081919b9cb5881a96c92b\overnight_refinement_2026-08-27\reports\194_21k_Mp1p1_Ap0_Op0p0001_ise_report.json</x:v>
      </x:c>
    </x:row>
    <x:row r="196">
      <x:c r="A196" s="66" t="str">
        <x:v>195_21k_Mp1p1_Ap1_Op0p00001_ise</x:v>
      </x:c>
      <x:c r="B196" s="66" t="str">
        <x:v>21k</x:v>
      </x:c>
      <x:c r="C196" s="66" t="n">
        <x:v>1.1</x:v>
      </x:c>
      <x:c r="D196" s="66" t="n">
        <x:v>1</x:v>
      </x:c>
      <x:c r="E196" s="66" t="n">
        <x:v>0.00001</x:v>
      </x:c>
      <x:c r="F196" s="66" t="str">
        <x:v>isentropic</x:v>
      </x:c>
      <x:c r="G196" s="66" t="str">
        <x:v>FQRUP</x:v>
      </x:c>
      <x:c r="H196" s="66" t="str">
        <x:v>OK</x:v>
      </x:c>
      <x:c r="I196" s="66" t="n">
        <x:v>1</x:v>
      </x:c>
      <x:c r="J196" s="66" t="n">
        <x:v>0</x:v>
      </x:c>
      <x:c r="K196" s="66" t="n">
        <x:v>131.156</x:v>
      </x:c>
      <x:c r="L196" s="66" t="n">
        <x:v>0.0437667487550807</x:v>
      </x:c>
      <x:c r="M196" s="66" t="n">
        <x:v>0.000509048879215906</x:v>
      </x:c>
      <x:c r="N196" s="66" t="n">
        <x:v>-0.00147763065252472</x:v>
      </x:c>
      <x:c r="O196" s="66" t="n">
        <x:v>0.0437342946565442</x:v>
      </x:c>
      <x:c r="P196" s="66" t="n">
        <x:v>-0.00224124068993142</x:v>
      </x:c>
      <x:c r="Q196" s="66" t="n">
        <x:v>6.19304639313301e-9</x:v>
      </x:c>
      <x:c r="R196" s="66" t="str">
        <x:v>C:\Users\admin\.codex\.chatgpt-projects\g-p-6910508be2a081919b9cb5881a96c92b\overnight_refinement_2026-08-27\reports\195_21k_Mp1p1_Ap1_Op0p00001_ise_report.json</x:v>
      </x:c>
    </x:row>
    <x:row r="197">
      <x:c r="A197" s="66" t="str">
        <x:v>196_21k_Mp1p1_Ap1_Op0p0001_ise</x:v>
      </x:c>
      <x:c r="B197" s="66" t="str">
        <x:v>21k</x:v>
      </x:c>
      <x:c r="C197" s="66" t="n">
        <x:v>1.1</x:v>
      </x:c>
      <x:c r="D197" s="66" t="n">
        <x:v>1</x:v>
      </x:c>
      <x:c r="E197" s="66" t="n">
        <x:v>0.0001</x:v>
      </x:c>
      <x:c r="F197" s="66" t="str">
        <x:v>isentropic</x:v>
      </x:c>
      <x:c r="G197" s="66" t="str">
        <x:v>FQRUP</x:v>
      </x:c>
      <x:c r="H197" s="66" t="str">
        <x:v>OK</x:v>
      </x:c>
      <x:c r="I197" s="66" t="n">
        <x:v>1</x:v>
      </x:c>
      <x:c r="J197" s="66" t="n">
        <x:v>0</x:v>
      </x:c>
      <x:c r="K197" s="66" t="n">
        <x:v>130.765</x:v>
      </x:c>
      <x:c r="L197" s="66" t="n">
        <x:v>0.0437581862260356</x:v>
      </x:c>
      <x:c r="M197" s="66" t="n">
        <x:v>0.000512662238890634</x:v>
      </x:c>
      <x:c r="N197" s="66" t="n">
        <x:v>-0.0014592178603664</x:v>
      </x:c>
      <x:c r="O197" s="66" t="n">
        <x:v>0.0437260547791462</x:v>
      </x:c>
      <x:c r="P197" s="66" t="n">
        <x:v>-0.0022226812653935</x:v>
      </x:c>
      <x:c r="Q197" s="66" t="n">
        <x:v>6.18379350264296e-8</x:v>
      </x:c>
      <x:c r="R197" s="66" t="str">
        <x:v>C:\Users\admin\.codex\.chatgpt-projects\g-p-6910508be2a081919b9cb5881a96c92b\overnight_refinement_2026-08-27\reports\196_21k_Mp1p1_Ap1_Op0p0001_ise_report.json</x:v>
      </x:c>
    </x:row>
    <x:row r="198">
      <x:c r="A198" s="66" t="str">
        <x:v>197_21k_Mp1p1_Ap2_Op0p00001_ise</x:v>
      </x:c>
      <x:c r="B198" s="66" t="str">
        <x:v>21k</x:v>
      </x:c>
      <x:c r="C198" s="66" t="n">
        <x:v>1.1</x:v>
      </x:c>
      <x:c r="D198" s="66" t="n">
        <x:v>2</x:v>
      </x:c>
      <x:c r="E198" s="66" t="n">
        <x:v>0.00001</x:v>
      </x:c>
      <x:c r="F198" s="66" t="str">
        <x:v>isentropic</x:v>
      </x:c>
      <x:c r="G198" s="66" t="str">
        <x:v>FQRUP</x:v>
      </x:c>
      <x:c r="H198" s="66" t="str">
        <x:v>OK</x:v>
      </x:c>
      <x:c r="I198" s="66" t="n">
        <x:v>1</x:v>
      </x:c>
      <x:c r="J198" s="66" t="n">
        <x:v>0</x:v>
      </x:c>
      <x:c r="K198" s="66" t="n">
        <x:v>130.313</x:v>
      </x:c>
      <x:c r="L198" s="66" t="n">
        <x:v>0.0414390540443171</x:v>
      </x:c>
      <x:c r="M198" s="66" t="n">
        <x:v>0.00133371567925801</x:v>
      </x:c>
      <x:c r="N198" s="66" t="n">
        <x:v>0.00129155398881134</x:v>
      </x:c>
      <x:c r="O198" s="66" t="n">
        <x:v>0.0414588850764127</x:v>
      </x:c>
      <x:c r="P198" s="66" t="n">
        <x:v>-0.000155434920956427</x:v>
      </x:c>
      <x:c r="Q198" s="66" t="n">
        <x:v>6.01628548879152e-9</x:v>
      </x:c>
      <x:c r="R198" s="66" t="str">
        <x:v>C:\Users\admin\.codex\.chatgpt-projects\g-p-6910508be2a081919b9cb5881a96c92b\overnight_refinement_2026-08-27\reports\197_21k_Mp1p1_Ap2_Op0p00001_ise_report.json</x:v>
      </x:c>
    </x:row>
    <x:row r="199">
      <x:c r="A199" s="66" t="str">
        <x:v>198_21k_Mp1p1_Ap2_Op0p0001_ise</x:v>
      </x:c>
      <x:c r="B199" s="66" t="str">
        <x:v>21k</x:v>
      </x:c>
      <x:c r="C199" s="66" t="n">
        <x:v>1.1</x:v>
      </x:c>
      <x:c r="D199" s="66" t="n">
        <x:v>2</x:v>
      </x:c>
      <x:c r="E199" s="66" t="n">
        <x:v>0.0001</x:v>
      </x:c>
      <x:c r="F199" s="66" t="str">
        <x:v>isentropic</x:v>
      </x:c>
      <x:c r="G199" s="66" t="str">
        <x:v>FQRUP</x:v>
      </x:c>
      <x:c r="H199" s="66" t="str">
        <x:v>OK</x:v>
      </x:c>
      <x:c r="I199" s="66" t="n">
        <x:v>1</x:v>
      </x:c>
      <x:c r="J199" s="66" t="n">
        <x:v>0</x:v>
      </x:c>
      <x:c r="K199" s="66" t="n">
        <x:v>129.703</x:v>
      </x:c>
      <x:c r="L199" s="66" t="n">
        <x:v>0.041431449792892</x:v>
      </x:c>
      <x:c r="M199" s="66" t="n">
        <x:v>0.00133655145915883</x:v>
      </x:c>
      <x:c r="N199" s="66" t="n">
        <x:v>0.00131201113714937</x:v>
      </x:c>
      <x:c r="O199" s="66" t="n">
        <x:v>0.0414519994014731</x:v>
      </x:c>
      <x:c r="P199" s="66" t="n">
        <x:v>-0.000134724850012895</x:v>
      </x:c>
      <x:c r="Q199" s="66" t="n">
        <x:v>6.00873935352288e-8</x:v>
      </x:c>
      <x:c r="R199" s="66" t="str">
        <x:v>C:\Users\admin\.codex\.chatgpt-projects\g-p-6910508be2a081919b9cb5881a96c92b\overnight_refinement_2026-08-27\reports\198_21k_Mp1p1_Ap2_Op0p0001_ise_report.json</x:v>
      </x:c>
    </x:row>
    <x:row r="200">
      <x:c r="A200" s="66" t="str">
        <x:v>199_21k_Mp1p1_Ap3_Op0p00001_ise</x:v>
      </x:c>
      <x:c r="B200" s="66" t="str">
        <x:v>21k</x:v>
      </x:c>
      <x:c r="C200" s="66" t="n">
        <x:v>1.1</x:v>
      </x:c>
      <x:c r="D200" s="66" t="n">
        <x:v>3</x:v>
      </x:c>
      <x:c r="E200" s="66" t="n">
        <x:v>0.00001</x:v>
      </x:c>
      <x:c r="F200" s="66" t="str">
        <x:v>isentropic</x:v>
      </x:c>
      <x:c r="G200" s="66" t="str">
        <x:v>FQRUP</x:v>
      </x:c>
      <x:c r="H200" s="66" t="str">
        <x:v>OK</x:v>
      </x:c>
      <x:c r="I200" s="66" t="n">
        <x:v>1</x:v>
      </x:c>
      <x:c r="J200" s="66" t="n">
        <x:v>0</x:v>
      </x:c>
      <x:c r="K200" s="66" t="n">
        <x:v>129.797</x:v>
      </x:c>
      <x:c r="L200" s="66" t="n">
        <x:v>0.038106738666849</x:v>
      </x:c>
      <x:c r="M200" s="66" t="n">
        <x:v>0.00270052029853062</x:v>
      </x:c>
      <x:c r="N200" s="66" t="n">
        <x:v>0.0189268218288994</x:v>
      </x:c>
      <x:c r="O200" s="66" t="n">
        <x:v>0.0390450680249448</x:v>
      </x:c>
      <x:c r="P200" s="66" t="n">
        <x:v>0.016906530669947</x:v>
      </x:c>
      <x:c r="Q200" s="66" t="n">
        <x:v>5.99390622238452e-9</x:v>
      </x:c>
      <x:c r="R200" s="66" t="str">
        <x:v>C:\Users\admin\.codex\.chatgpt-projects\g-p-6910508be2a081919b9cb5881a96c92b\overnight_refinement_2026-08-27\reports\199_21k_Mp1p1_Ap3_Op0p00001_ise_report.json</x:v>
      </x:c>
    </x:row>
    <x:row r="201">
      <x:c r="A201" s="66" t="str">
        <x:v>200_21k_Mp1p1_Ap3_Op0p0001_ise</x:v>
      </x:c>
      <x:c r="B201" s="66" t="str">
        <x:v>21k</x:v>
      </x:c>
      <x:c r="C201" s="66" t="n">
        <x:v>1.1</x:v>
      </x:c>
      <x:c r="D201" s="66" t="n">
        <x:v>3</x:v>
      </x:c>
      <x:c r="E201" s="66" t="n">
        <x:v>0.0001</x:v>
      </x:c>
      <x:c r="F201" s="66" t="str">
        <x:v>isentropic</x:v>
      </x:c>
      <x:c r="G201" s="66" t="str">
        <x:v>FQRUP</x:v>
      </x:c>
      <x:c r="H201" s="66" t="str">
        <x:v>OK</x:v>
      </x:c>
      <x:c r="I201" s="66" t="n">
        <x:v>1</x:v>
      </x:c>
      <x:c r="J201" s="66" t="n">
        <x:v>0</x:v>
      </x:c>
      <x:c r="K201" s="66" t="n">
        <x:v>130.703</x:v>
      </x:c>
      <x:c r="L201" s="66" t="n">
        <x:v>0.0380982449367972</x:v>
      </x:c>
      <x:c r="M201" s="66" t="n">
        <x:v>0.00270520037249931</x:v>
      </x:c>
      <x:c r="N201" s="66" t="n">
        <x:v>0.0189398143940597</x:v>
      </x:c>
      <x:c r="O201" s="66" t="n">
        <x:v>0.0390372659135766</x:v>
      </x:c>
      <x:c r="P201" s="66" t="n">
        <x:v>0.0169199499567326</x:v>
      </x:c>
      <x:c r="Q201" s="66" t="n">
        <x:v>5.98484851382532e-8</x:v>
      </x:c>
      <x:c r="R201" s="66" t="str">
        <x:v>C:\Users\admin\.codex\.chatgpt-projects\g-p-6910508be2a081919b9cb5881a96c92b\overnight_refinement_2026-08-27\reports\200_21k_Mp1p1_Ap3_Op0p0001_ise_report.json</x:v>
      </x:c>
    </x:row>
    <x:row r="202">
      <x:c r="A202" s="66" t="str">
        <x:v>201_21k_Mp1p1_Ap4_Op0p00001_ise</x:v>
      </x:c>
      <x:c r="B202" s="66" t="str">
        <x:v>21k</x:v>
      </x:c>
      <x:c r="C202" s="66" t="n">
        <x:v>1.1</x:v>
      </x:c>
      <x:c r="D202" s="66" t="n">
        <x:v>4</x:v>
      </x:c>
      <x:c r="E202" s="66" t="n">
        <x:v>0.00001</x:v>
      </x:c>
      <x:c r="F202" s="66" t="str">
        <x:v>isentropic</x:v>
      </x:c>
      <x:c r="G202" s="66" t="str">
        <x:v>FQRUP</x:v>
      </x:c>
      <x:c r="H202" s="66" t="str">
        <x:v>OK</x:v>
      </x:c>
      <x:c r="I202" s="66" t="n">
        <x:v>1</x:v>
      </x:c>
      <x:c r="J202" s="66" t="n">
        <x:v>0</x:v>
      </x:c>
      <x:c r="K202" s="66" t="n">
        <x:v>129.906</x:v>
      </x:c>
      <x:c r="L202" s="66" t="n">
        <x:v>0.0343742699142592</x:v>
      </x:c>
      <x:c r="M202" s="66" t="n">
        <x:v>0.00525032082203332</x:v>
      </x:c>
      <x:c r="N202" s="66" t="n">
        <x:v>0.0529093337635939</x:v>
      </x:c>
      <x:c r="O202" s="66" t="n">
        <x:v>0.0379813044718921</x:v>
      </x:c>
      <x:c r="P202" s="66" t="n">
        <x:v>0.0503826214290121</x:v>
      </x:c>
      <x:c r="Q202" s="66" t="n">
        <x:v>5.96545420603726e-9</x:v>
      </x:c>
      <x:c r="R202" s="66" t="str">
        <x:v>C:\Users\admin\.codex\.chatgpt-projects\g-p-6910508be2a081919b9cb5881a96c92b\overnight_refinement_2026-08-27\reports\201_21k_Mp1p1_Ap4_Op0p00001_ise_report.json</x:v>
      </x:c>
    </x:row>
    <x:row r="203">
      <x:c r="A203" s="66" t="str">
        <x:v>202_21k_Mp1p1_Ap4_Op0p0001_ise</x:v>
      </x:c>
      <x:c r="B203" s="66" t="str">
        <x:v>21k</x:v>
      </x:c>
      <x:c r="C203" s="66" t="n">
        <x:v>1.1</x:v>
      </x:c>
      <x:c r="D203" s="66" t="n">
        <x:v>4</x:v>
      </x:c>
      <x:c r="E203" s="66" t="n">
        <x:v>0.0001</x:v>
      </x:c>
      <x:c r="F203" s="66" t="str">
        <x:v>isentropic</x:v>
      </x:c>
      <x:c r="G203" s="66" t="str">
        <x:v>FQRUP</x:v>
      </x:c>
      <x:c r="H203" s="66" t="str">
        <x:v>OK</x:v>
      </x:c>
      <x:c r="I203" s="66" t="n">
        <x:v>1</x:v>
      </x:c>
      <x:c r="J203" s="66" t="n">
        <x:v>0</x:v>
      </x:c>
      <x:c r="K203" s="66" t="n">
        <x:v>131</x:v>
      </x:c>
      <x:c r="L203" s="66" t="n">
        <x:v>0.0343654718696159</x:v>
      </x:c>
      <x:c r="M203" s="66" t="n">
        <x:v>0.00525866185909243</x:v>
      </x:c>
      <x:c r="N203" s="66" t="n">
        <x:v>0.0529095015592169</x:v>
      </x:c>
      <x:c r="O203" s="66" t="n">
        <x:v>0.0379725395636744</x:v>
      </x:c>
      <x:c r="P203" s="66" t="n">
        <x:v>0.0503834025364636</x:v>
      </x:c>
      <x:c r="Q203" s="66" t="n">
        <x:v>5.95506826553965e-8</x:v>
      </x:c>
      <x:c r="R203" s="66" t="str">
        <x:v>C:\Users\admin\.codex\.chatgpt-projects\g-p-6910508be2a081919b9cb5881a96c92b\overnight_refinement_2026-08-27\reports\202_21k_Mp1p1_Ap4_Op0p0001_ise_report.json</x:v>
      </x:c>
    </x:row>
    <x:row r="204">
      <x:c r="A204" s="66" t="str">
        <x:v>203_21k_Mp1p15_Am4_Op0p00001_ise</x:v>
      </x:c>
      <x:c r="B204" s="66" t="str">
        <x:v>21k</x:v>
      </x:c>
      <x:c r="C204" s="66" t="n">
        <x:v>1.15</x:v>
      </x:c>
      <x:c r="D204" s="66" t="n">
        <x:v>-4</x:v>
      </x:c>
      <x:c r="E204" s="66" t="n">
        <x:v>0.00001</x:v>
      </x:c>
      <x:c r="F204" s="66" t="str">
        <x:v>isentropic</x:v>
      </x:c>
      <x:c r="G204" s="66" t="str">
        <x:v>FQRUP</x:v>
      </x:c>
      <x:c r="H204" s="66" t="str">
        <x:v>OK</x:v>
      </x:c>
      <x:c r="I204" s="66" t="n">
        <x:v>1</x:v>
      </x:c>
      <x:c r="J204" s="66" t="n">
        <x:v>0</x:v>
      </x:c>
      <x:c r="K204" s="66" t="n">
        <x:v>115.125</x:v>
      </x:c>
      <x:c r="L204" s="66" t="n">
        <x:v>0.0344397008261478</x:v>
      </x:c>
      <x:c r="M204" s="66" t="n">
        <x:v>-0.00650892467815446</x:v>
      </x:c>
      <x:c r="N204" s="66" t="n">
        <x:v>-0.052975216882901</x:v>
      </x:c>
      <x:c r="O204" s="66" t="n">
        <x:v>0.03805117177145</x:v>
      </x:c>
      <x:c r="P204" s="66" t="n">
        <x:v>-0.0504437798306646</x:v>
      </x:c>
      <x:c r="Q204" s="66" t="n">
        <x:v>7.59278317936736e-9</x:v>
      </x:c>
      <x:c r="R204" s="66" t="str">
        <x:v>C:\Users\admin\.codex\.chatgpt-projects\g-p-6910508be2a081919b9cb5881a96c92b\overnight_refinement_2026-08-27\reports\203_21k_Mp1p15_Am4_Op0p00001_ise_report.json</x:v>
      </x:c>
    </x:row>
    <x:row r="205">
      <x:c r="A205" s="66" t="str">
        <x:v>204_21k_Mp1p15_Am4_Op0p0001_ise</x:v>
      </x:c>
      <x:c r="B205" s="66" t="str">
        <x:v>21k</x:v>
      </x:c>
      <x:c r="C205" s="66" t="n">
        <x:v>1.15</x:v>
      </x:c>
      <x:c r="D205" s="66" t="n">
        <x:v>-4</x:v>
      </x:c>
      <x:c r="E205" s="66" t="n">
        <x:v>0.0001</x:v>
      </x:c>
      <x:c r="F205" s="66" t="str">
        <x:v>isentropic</x:v>
      </x:c>
      <x:c r="G205" s="66" t="str">
        <x:v>FQRUP</x:v>
      </x:c>
      <x:c r="H205" s="66" t="str">
        <x:v>OK</x:v>
      </x:c>
      <x:c r="I205" s="66" t="n">
        <x:v>1</x:v>
      </x:c>
      <x:c r="J205" s="66" t="n">
        <x:v>0</x:v>
      </x:c>
      <x:c r="K205" s="66" t="n">
        <x:v>112.563</x:v>
      </x:c>
      <x:c r="L205" s="66" t="n">
        <x:v>0.0344289861529519</x:v>
      </x:c>
      <x:c r="M205" s="66" t="n">
        <x:v>-0.00651930133997322</x:v>
      </x:c>
      <x:c r="N205" s="66" t="n">
        <x:v>-0.052973441295768</x:v>
      </x:c>
      <x:c r="O205" s="66" t="n">
        <x:v>0.0380403593399623</x:v>
      </x:c>
      <x:c r="P205" s="66" t="n">
        <x:v>-0.0504427559865921</x:v>
      </x:c>
      <x:c r="Q205" s="66" t="n">
        <x:v>7.5899482418352e-8</x:v>
      </x:c>
      <x:c r="R205" s="66" t="str">
        <x:v>C:\Users\admin\.codex\.chatgpt-projects\g-p-6910508be2a081919b9cb5881a96c92b\overnight_refinement_2026-08-27\reports\204_21k_Mp1p15_Am4_Op0p0001_ise_report.json</x:v>
      </x:c>
    </x:row>
    <x:row r="206">
      <x:c r="A206" s="66" t="str">
        <x:v>205_21k_Mp1p15_Am3_Op0p00001_ise</x:v>
      </x:c>
      <x:c r="B206" s="66" t="str">
        <x:v>21k</x:v>
      </x:c>
      <x:c r="C206" s="66" t="n">
        <x:v>1.15</x:v>
      </x:c>
      <x:c r="D206" s="66" t="n">
        <x:v>-3</x:v>
      </x:c>
      <x:c r="E206" s="66" t="n">
        <x:v>0.00001</x:v>
      </x:c>
      <x:c r="F206" s="66" t="str">
        <x:v>isentropic</x:v>
      </x:c>
      <x:c r="G206" s="66" t="str">
        <x:v>FQRUP</x:v>
      </x:c>
      <x:c r="H206" s="66" t="str">
        <x:v>OK</x:v>
      </x:c>
      <x:c r="I206" s="66" t="n">
        <x:v>1</x:v>
      </x:c>
      <x:c r="J206" s="66" t="n">
        <x:v>0</x:v>
      </x:c>
      <x:c r="K206" s="66" t="n">
        <x:v>112.562</x:v>
      </x:c>
      <x:c r="L206" s="66" t="n">
        <x:v>0.0373229134260699</x:v>
      </x:c>
      <x:c r="M206" s="66" t="n">
        <x:v>-0.00512846010382271</x:v>
      </x:c>
      <x:c r="N206" s="66" t="n">
        <x:v>-0.019413707014205</x:v>
      </x:c>
      <x:c r="O206" s="66" t="n">
        <x:v>0.0382877985911702</x:v>
      </x:c>
      <x:c r="P206" s="66" t="n">
        <x:v>-0.0174337708395312</x:v>
      </x:c>
      <x:c r="Q206" s="66" t="n">
        <x:v>7.37006799398863e-9</x:v>
      </x:c>
      <x:c r="R206" s="66" t="str">
        <x:v>C:\Users\admin\.codex\.chatgpt-projects\g-p-6910508be2a081919b9cb5881a96c92b\overnight_refinement_2026-08-27\reports\205_21k_Mp1p15_Am3_Op0p00001_ise_report.json</x:v>
      </x:c>
    </x:row>
    <x:row r="207">
      <x:c r="A207" s="66" t="str">
        <x:v>206_21k_Mp1p15_Am3_Op0p0001_ise</x:v>
      </x:c>
      <x:c r="B207" s="66" t="str">
        <x:v>21k</x:v>
      </x:c>
      <x:c r="C207" s="66" t="n">
        <x:v>1.15</x:v>
      </x:c>
      <x:c r="D207" s="66" t="n">
        <x:v>-3</x:v>
      </x:c>
      <x:c r="E207" s="66" t="n">
        <x:v>0.0001</x:v>
      </x:c>
      <x:c r="F207" s="66" t="str">
        <x:v>isentropic</x:v>
      </x:c>
      <x:c r="G207" s="66" t="str">
        <x:v>FQRUP</x:v>
      </x:c>
      <x:c r="H207" s="66" t="str">
        <x:v>OK</x:v>
      </x:c>
      <x:c r="I207" s="66" t="n">
        <x:v>1</x:v>
      </x:c>
      <x:c r="J207" s="66" t="n">
        <x:v>0</x:v>
      </x:c>
      <x:c r="K207" s="66" t="n">
        <x:v>113.015</x:v>
      </x:c>
      <x:c r="L207" s="66" t="n">
        <x:v>0.0373130020503599</x:v>
      </x:c>
      <x:c r="M207" s="66" t="n">
        <x:v>-0.00513389390806229</x:v>
      </x:c>
      <x:c r="N207" s="66" t="n">
        <x:v>-0.019412889798242</x:v>
      </x:c>
      <x:c r="O207" s="66" t="n">
        <x:v>0.0382778580288773</x:v>
      </x:c>
      <x:c r="P207" s="66" t="n">
        <x:v>-0.0174334734648597</x:v>
      </x:c>
      <x:c r="Q207" s="66" t="n">
        <x:v>7.3704159237555e-8</x:v>
      </x:c>
      <x:c r="R207" s="66" t="str">
        <x:v>C:\Users\admin\.codex\.chatgpt-projects\g-p-6910508be2a081919b9cb5881a96c92b\overnight_refinement_2026-08-27\reports\206_21k_Mp1p15_Am3_Op0p0001_ise_report.json</x:v>
      </x:c>
    </x:row>
    <x:row r="208">
      <x:c r="A208" s="66" t="str">
        <x:v>207_21k_Mp1p15_Am2_Op0p00001_ise</x:v>
      </x:c>
      <x:c r="B208" s="66" t="str">
        <x:v>21k</x:v>
      </x:c>
      <x:c r="C208" s="66" t="n">
        <x:v>1.15</x:v>
      </x:c>
      <x:c r="D208" s="66" t="n">
        <x:v>-2</x:v>
      </x:c>
      <x:c r="E208" s="66" t="n">
        <x:v>0.00001</x:v>
      </x:c>
      <x:c r="F208" s="66" t="str">
        <x:v>isentropic</x:v>
      </x:c>
      <x:c r="G208" s="66" t="str">
        <x:v>FQRUP</x:v>
      </x:c>
      <x:c r="H208" s="66" t="str">
        <x:v>OK</x:v>
      </x:c>
      <x:c r="I208" s="66" t="n">
        <x:v>1</x:v>
      </x:c>
      <x:c r="J208" s="66" t="n">
        <x:v>0</x:v>
      </x:c>
      <x:c r="K208" s="66" t="n">
        <x:v>113.375</x:v>
      </x:c>
      <x:c r="L208" s="66" t="n">
        <x:v>0.0401252033653553</x:v>
      </x:c>
      <x:c r="M208" s="66" t="n">
        <x:v>-0.00170204533074</x:v>
      </x:c>
      <x:c r="N208" s="66" t="n">
        <x:v>-0.00150241993320723</x:v>
      </x:c>
      <x:c r="O208" s="66" t="n">
        <x:v>0.0401531938751166</x:v>
      </x:c>
      <x:c r="P208" s="66" t="n">
        <x:v>-0.00010115529704155</x:v>
      </x:c>
      <x:c r="Q208" s="66" t="n">
        <x:v>7.4089152070378e-9</x:v>
      </x:c>
      <x:c r="R208" s="66" t="str">
        <x:v>C:\Users\admin\.codex\.chatgpt-projects\g-p-6910508be2a081919b9cb5881a96c92b\overnight_refinement_2026-08-27\reports\207_21k_Mp1p15_Am2_Op0p00001_ise_report.json</x:v>
      </x:c>
    </x:row>
    <x:row r="209">
      <x:c r="A209" s="66" t="str">
        <x:v>208_21k_Mp1p15_Am2_Op0p0001_ise</x:v>
      </x:c>
      <x:c r="B209" s="66" t="str">
        <x:v>21k</x:v>
      </x:c>
      <x:c r="C209" s="66" t="n">
        <x:v>1.15</x:v>
      </x:c>
      <x:c r="D209" s="66" t="n">
        <x:v>-2</x:v>
      </x:c>
      <x:c r="E209" s="66" t="n">
        <x:v>0.0001</x:v>
      </x:c>
      <x:c r="F209" s="66" t="str">
        <x:v>isentropic</x:v>
      </x:c>
      <x:c r="G209" s="66" t="str">
        <x:v>FQRUP</x:v>
      </x:c>
      <x:c r="H209" s="66" t="str">
        <x:v>OK</x:v>
      </x:c>
      <x:c r="I209" s="66" t="n">
        <x:v>1</x:v>
      </x:c>
      <x:c r="J209" s="66" t="n">
        <x:v>0</x:v>
      </x:c>
      <x:c r="K209" s="66" t="n">
        <x:v>112.891</x:v>
      </x:c>
      <x:c r="L209" s="66" t="n">
        <x:v>0.0401153464879109</x:v>
      </x:c>
      <x:c r="M209" s="66" t="n">
        <x:v>-0.00170204645784626</x:v>
      </x:c>
      <x:c r="N209" s="66" t="n">
        <x:v>-0.0014942849210008</x:v>
      </x:c>
      <x:c r="O209" s="66" t="n">
        <x:v>0.0401430590943839</x:v>
      </x:c>
      <x:c r="P209" s="66" t="n">
        <x:v>-0.0000933692405266232</x:v>
      </x:c>
      <x:c r="Q209" s="66" t="n">
        <x:v>7.3063662807937e-8</x:v>
      </x:c>
      <x:c r="R209" s="66" t="str">
        <x:v>C:\Users\admin\.codex\.chatgpt-projects\g-p-6910508be2a081919b9cb5881a96c92b\overnight_refinement_2026-08-27\reports\208_21k_Mp1p15_Am2_Op0p0001_ise_report.json</x:v>
      </x:c>
    </x:row>
    <x:row r="210">
      <x:c r="A210" s="66" t="str">
        <x:v>209_21k_Mp1p15_Am1_Op0p00001_ise</x:v>
      </x:c>
      <x:c r="B210" s="66" t="str">
        <x:v>21k</x:v>
      </x:c>
      <x:c r="C210" s="66" t="n">
        <x:v>1.15</x:v>
      </x:c>
      <x:c r="D210" s="66" t="n">
        <x:v>-1</x:v>
      </x:c>
      <x:c r="E210" s="66" t="n">
        <x:v>0.00001</x:v>
      </x:c>
      <x:c r="F210" s="66" t="str">
        <x:v>isentropic</x:v>
      </x:c>
      <x:c r="G210" s="66" t="str">
        <x:v>FQRUP</x:v>
      </x:c>
      <x:c r="H210" s="66" t="str">
        <x:v>OK</x:v>
      </x:c>
      <x:c r="I210" s="66" t="n">
        <x:v>1</x:v>
      </x:c>
      <x:c r="J210" s="66" t="n">
        <x:v>0</x:v>
      </x:c>
      <x:c r="K210" s="66" t="n">
        <x:v>114.015</x:v>
      </x:c>
      <x:c r="L210" s="66" t="n">
        <x:v>0.0423617526468282</x:v>
      </x:c>
      <x:c r="M210" s="66" t="n">
        <x:v>0.0000092054330854958</x:v>
      </x:c>
      <x:c r="N210" s="66" t="n">
        <x:v>0.00282157196073268</x:v>
      </x:c>
      <x:c r="O210" s="66" t="n">
        <x:v>0.0423060575260656</x:v>
      </x:c>
      <x:c r="P210" s="66" t="n">
        <x:v>0.00356045674624459</x:v>
      </x:c>
      <x:c r="Q210" s="66" t="n">
        <x:v>7.30297683468513e-9</x:v>
      </x:c>
      <x:c r="R210" s="66" t="str">
        <x:v>C:\Users\admin\.codex\.chatgpt-projects\g-p-6910508be2a081919b9cb5881a96c92b\overnight_refinement_2026-08-27\reports\209_21k_Mp1p15_Am1_Op0p00001_ise_report.json</x:v>
      </x:c>
    </x:row>
    <x:row r="211">
      <x:c r="A211" s="66" t="str">
        <x:v>210_21k_Mp1p15_Am1_Op0p0001_ise</x:v>
      </x:c>
      <x:c r="B211" s="66" t="str">
        <x:v>21k</x:v>
      </x:c>
      <x:c r="C211" s="66" t="n">
        <x:v>1.15</x:v>
      </x:c>
      <x:c r="D211" s="66" t="n">
        <x:v>-1</x:v>
      </x:c>
      <x:c r="E211" s="66" t="n">
        <x:v>0.0001</x:v>
      </x:c>
      <x:c r="F211" s="66" t="str">
        <x:v>isentropic</x:v>
      </x:c>
      <x:c r="G211" s="66" t="str">
        <x:v>FQRUP</x:v>
      </x:c>
      <x:c r="H211" s="66" t="str">
        <x:v>OK</x:v>
      </x:c>
      <x:c r="I211" s="66" t="n">
        <x:v>1</x:v>
      </x:c>
      <x:c r="J211" s="66" t="n">
        <x:v>0</x:v>
      </x:c>
      <x:c r="K211" s="66" t="n">
        <x:v>113.187</x:v>
      </x:c>
      <x:c r="L211" s="66" t="n">
        <x:v>0.0423522464282754</x:v>
      </x:c>
      <x:c r="M211" s="66" t="n">
        <x:v>0.0000100392620015072</x:v>
      </x:c>
      <x:c r="N211" s="66" t="n">
        <x:v>0.00283101029352767</x:v>
      </x:c>
      <x:c r="O211" s="66" t="n">
        <x:v>0.0422963880337359</x:v>
      </x:c>
      <x:c r="P211" s="66" t="n">
        <x:v>0.00356972773514591</x:v>
      </x:c>
      <x:c r="Q211" s="66" t="n">
        <x:v>7.30082549569584e-8</x:v>
      </x:c>
      <x:c r="R211" s="66" t="str">
        <x:v>C:\Users\admin\.codex\.chatgpt-projects\g-p-6910508be2a081919b9cb5881a96c92b\overnight_refinement_2026-08-27\reports\210_21k_Mp1p15_Am1_Op0p0001_ise_report.json</x:v>
      </x:c>
    </x:row>
    <x:row r="212">
      <x:c r="A212" s="66" t="str">
        <x:v>211_21k_Mp1p15_Ap0_Op0p00001_ise</x:v>
      </x:c>
      <x:c r="B212" s="66" t="str">
        <x:v>21k</x:v>
      </x:c>
      <x:c r="C212" s="66" t="n">
        <x:v>1.15</x:v>
      </x:c>
      <x:c r="D212" s="66" t="n">
        <x:v>0</x:v>
      </x:c>
      <x:c r="E212" s="66" t="n">
        <x:v>0.00001</x:v>
      </x:c>
      <x:c r="F212" s="66" t="str">
        <x:v>isentropic</x:v>
      </x:c>
      <x:c r="G212" s="66" t="str">
        <x:v>FQRUP</x:v>
      </x:c>
      <x:c r="H212" s="66" t="str">
        <x:v>OK</x:v>
      </x:c>
      <x:c r="I212" s="66" t="n">
        <x:v>1</x:v>
      </x:c>
      <x:c r="J212" s="66" t="n">
        <x:v>0</x:v>
      </x:c>
      <x:c r="K212" s="66" t="n">
        <x:v>113.578</x:v>
      </x:c>
      <x:c r="L212" s="66" t="n">
        <x:v>0.0431935202766398</x:v>
      </x:c>
      <x:c r="M212" s="66" t="n">
        <x:v>0.000178015601742556</x:v>
      </x:c>
      <x:c r="N212" s="66" t="n">
        <x:v>-0.000374522748932759</x:v>
      </x:c>
      <x:c r="O212" s="66" t="n">
        <x:v>0.0431935202766398</x:v>
      </x:c>
      <x:c r="P212" s="66" t="n">
        <x:v>-0.000374522748932759</x:v>
      </x:c>
      <x:c r="Q212" s="66" t="n">
        <x:v>7.60778506535285e-9</x:v>
      </x:c>
      <x:c r="R212" s="66" t="str">
        <x:v>C:\Users\admin\.codex\.chatgpt-projects\g-p-6910508be2a081919b9cb5881a96c92b\overnight_refinement_2026-08-27\reports\211_21k_Mp1p15_Ap0_Op0p00001_ise_report.json</x:v>
      </x:c>
    </x:row>
    <x:row r="213">
      <x:c r="A213" s="66" t="str">
        <x:v>212_21k_Mp1p15_Ap0_Op0p0001_ise</x:v>
      </x:c>
      <x:c r="B213" s="66" t="str">
        <x:v>21k</x:v>
      </x:c>
      <x:c r="C213" s="66" t="n">
        <x:v>1.15</x:v>
      </x:c>
      <x:c r="D213" s="66" t="n">
        <x:v>0</x:v>
      </x:c>
      <x:c r="E213" s="66" t="n">
        <x:v>0.0001</x:v>
      </x:c>
      <x:c r="F213" s="66" t="str">
        <x:v>isentropic</x:v>
      </x:c>
      <x:c r="G213" s="66" t="str">
        <x:v>FQRUP</x:v>
      </x:c>
      <x:c r="H213" s="66" t="str">
        <x:v>OK</x:v>
      </x:c>
      <x:c r="I213" s="66" t="n">
        <x:v>1</x:v>
      </x:c>
      <x:c r="J213" s="66" t="n">
        <x:v>0</x:v>
      </x:c>
      <x:c r="K213" s="66" t="n">
        <x:v>113.656</x:v>
      </x:c>
      <x:c r="L213" s="66" t="n">
        <x:v>0.0431848370782156</x:v>
      </x:c>
      <x:c r="M213" s="66" t="n">
        <x:v>0.000180020281719201</x:v>
      </x:c>
      <x:c r="N213" s="66" t="n">
        <x:v>-0.000361028577711314</x:v>
      </x:c>
      <x:c r="O213" s="66" t="n">
        <x:v>0.0431848370782156</x:v>
      </x:c>
      <x:c r="P213" s="66" t="n">
        <x:v>-0.000361028577711314</x:v>
      </x:c>
      <x:c r="Q213" s="66" t="n">
        <x:v>7.59972982210491e-8</x:v>
      </x:c>
      <x:c r="R213" s="66" t="str">
        <x:v>C:\Users\admin\.codex\.chatgpt-projects\g-p-6910508be2a081919b9cb5881a96c92b\overnight_refinement_2026-08-27\reports\212_21k_Mp1p15_Ap0_Op0p0001_ise_report.json</x:v>
      </x:c>
    </x:row>
    <x:row r="214">
      <x:c r="A214" s="66" t="str">
        <x:v>213_21k_Mp1p15_Ap1_Op0p00001_ise</x:v>
      </x:c>
      <x:c r="B214" s="66" t="str">
        <x:v>21k</x:v>
      </x:c>
      <x:c r="C214" s="66" t="n">
        <x:v>1.15</x:v>
      </x:c>
      <x:c r="D214" s="66" t="n">
        <x:v>1</x:v>
      </x:c>
      <x:c r="E214" s="66" t="n">
        <x:v>0.00001</x:v>
      </x:c>
      <x:c r="F214" s="66" t="str">
        <x:v>isentropic</x:v>
      </x:c>
      <x:c r="G214" s="66" t="str">
        <x:v>FQRUP</x:v>
      </x:c>
      <x:c r="H214" s="66" t="str">
        <x:v>OK</x:v>
      </x:c>
      <x:c r="I214" s="66" t="n">
        <x:v>1</x:v>
      </x:c>
      <x:c r="J214" s="66" t="n">
        <x:v>0</x:v>
      </x:c>
      <x:c r="K214" s="66" t="n">
        <x:v>113.484</x:v>
      </x:c>
      <x:c r="L214" s="66" t="n">
        <x:v>0.0422129103023014</x:v>
      </x:c>
      <x:c r="M214" s="66" t="n">
        <x:v>0.000362595896933383</x:v>
      </x:c>
      <x:c r="N214" s="66" t="n">
        <x:v>-0.00601253241193079</x:v>
      </x:c>
      <x:c r="O214" s="66" t="n">
        <x:v>0.0421015479122292</x:v>
      </x:c>
      <x:c r="P214" s="66" t="n">
        <x:v>-0.00674833354161845</x:v>
      </x:c>
      <x:c r="Q214" s="66" t="n">
        <x:v>7.66417307984152e-9</x:v>
      </x:c>
      <x:c r="R214" s="66" t="str">
        <x:v>C:\Users\admin\.codex\.chatgpt-projects\g-p-6910508be2a081919b9cb5881a96c92b\overnight_refinement_2026-08-27\reports\213_21k_Mp1p15_Ap1_Op0p00001_ise_report.json</x:v>
      </x:c>
    </x:row>
    <x:row r="215">
      <x:c r="A215" s="66" t="str">
        <x:v>214_21k_Mp1p15_Ap1_Op0p0001_ise</x:v>
      </x:c>
      <x:c r="B215" s="66" t="str">
        <x:v>21k</x:v>
      </x:c>
      <x:c r="C215" s="66" t="n">
        <x:v>1.15</x:v>
      </x:c>
      <x:c r="D215" s="66" t="n">
        <x:v>1</x:v>
      </x:c>
      <x:c r="E215" s="66" t="n">
        <x:v>0.0001</x:v>
      </x:c>
      <x:c r="F215" s="66" t="str">
        <x:v>isentropic</x:v>
      </x:c>
      <x:c r="G215" s="66" t="str">
        <x:v>FQRUP</x:v>
      </x:c>
      <x:c r="H215" s="66" t="str">
        <x:v>OK</x:v>
      </x:c>
      <x:c r="I215" s="66" t="n">
        <x:v>1</x:v>
      </x:c>
      <x:c r="J215" s="66" t="n">
        <x:v>0</x:v>
      </x:c>
      <x:c r="K215" s="66" t="n">
        <x:v>114.578</x:v>
      </x:c>
      <x:c r="L215" s="66" t="n">
        <x:v>0.0422058121665226</x:v>
      </x:c>
      <x:c r="M215" s="66" t="n">
        <x:v>0.000367094791629094</x:v>
      </x:c>
      <x:c r="N215" s="66" t="n">
        <x:v>-0.00599205802811068</x:v>
      </x:c>
      <x:c r="O215" s="66" t="n">
        <x:v>0.0420948081847988</x:v>
      </x:c>
      <x:c r="P215" s="66" t="n">
        <x:v>-0.00672773839659561</x:v>
      </x:c>
      <x:c r="Q215" s="66" t="n">
        <x:v>7.65123123836585e-8</x:v>
      </x:c>
      <x:c r="R215" s="66" t="str">
        <x:v>C:\Users\admin\.codex\.chatgpt-projects\g-p-6910508be2a081919b9cb5881a96c92b\overnight_refinement_2026-08-27\reports\214_21k_Mp1p15_Ap1_Op0p0001_ise_report.json</x:v>
      </x:c>
    </x:row>
    <x:row r="216">
      <x:c r="A216" s="66" t="str">
        <x:v>215_21k_Mp1p15_Ap2_Op0p00001_ise</x:v>
      </x:c>
      <x:c r="B216" s="66" t="str">
        <x:v>21k</x:v>
      </x:c>
      <x:c r="C216" s="66" t="n">
        <x:v>1.15</x:v>
      </x:c>
      <x:c r="D216" s="66" t="n">
        <x:v>2</x:v>
      </x:c>
      <x:c r="E216" s="66" t="n">
        <x:v>0.00001</x:v>
      </x:c>
      <x:c r="F216" s="66" t="str">
        <x:v>isentropic</x:v>
      </x:c>
      <x:c r="G216" s="66" t="str">
        <x:v>FQRUP</x:v>
      </x:c>
      <x:c r="H216" s="66" t="str">
        <x:v>OK</x:v>
      </x:c>
      <x:c r="I216" s="66" t="n">
        <x:v>1</x:v>
      </x:c>
      <x:c r="J216" s="66" t="n">
        <x:v>0</x:v>
      </x:c>
      <x:c r="K216" s="66" t="n">
        <x:v>120.25</x:v>
      </x:c>
      <x:c r="L216" s="66" t="n">
        <x:v>0.0396059108326123</x:v>
      </x:c>
      <x:c r="M216" s="66" t="n">
        <x:v>0.00116919946717593</x:v>
      </x:c>
      <x:c r="N216" s="66" t="n">
        <x:v>-0.00626030473056697</x:v>
      </x:c>
      <x:c r="O216" s="66" t="n">
        <x:v>0.0393633024975479</x:v>
      </x:c>
      <x:c r="P216" s="66" t="n">
        <x:v>-0.00763871747657518</x:v>
      </x:c>
      <x:c r="Q216" s="66" t="n">
        <x:v>7.62887011725961e-9</x:v>
      </x:c>
      <x:c r="R216" s="66" t="str">
        <x:v>C:\Users\admin\.codex\.chatgpt-projects\g-p-6910508be2a081919b9cb5881a96c92b\overnight_refinement_2026-08-27\reports\215_21k_Mp1p15_Ap2_Op0p00001_ise_report.json</x:v>
      </x:c>
    </x:row>
    <x:row r="217">
      <x:c r="A217" s="66" t="str">
        <x:v>216_21k_Mp1p15_Ap2_Op0p0001_ise</x:v>
      </x:c>
      <x:c r="B217" s="66" t="str">
        <x:v>21k</x:v>
      </x:c>
      <x:c r="C217" s="66" t="n">
        <x:v>1.15</x:v>
      </x:c>
      <x:c r="D217" s="66" t="n">
        <x:v>2</x:v>
      </x:c>
      <x:c r="E217" s="66" t="n">
        <x:v>0.0001</x:v>
      </x:c>
      <x:c r="F217" s="66" t="str">
        <x:v>isentropic</x:v>
      </x:c>
      <x:c r="G217" s="66" t="str">
        <x:v>FQRUP</x:v>
      </x:c>
      <x:c r="H217" s="66" t="str">
        <x:v>OK</x:v>
      </x:c>
      <x:c r="I217" s="66" t="n">
        <x:v>1</x:v>
      </x:c>
      <x:c r="J217" s="66" t="n">
        <x:v>0</x:v>
      </x:c>
      <x:c r="K217" s="66" t="n">
        <x:v>113.172</x:v>
      </x:c>
      <x:c r="L217" s="66" t="n">
        <x:v>0.0395976676404654</x:v>
      </x:c>
      <x:c r="M217" s="66" t="n">
        <x:v>0.00117564805133858</x:v>
      </x:c>
      <x:c r="N217" s="66" t="n">
        <x:v>-0.00623501164811892</x:v>
      </x:c>
      <x:c r="O217" s="66" t="n">
        <x:v>0.0393559470427784</x:v>
      </x:c>
      <x:c r="P217" s="66" t="n">
        <x:v>-0.00761315211873241</x:v>
      </x:c>
      <x:c r="Q217" s="66" t="n">
        <x:v>7.61466530341771e-8</x:v>
      </x:c>
      <x:c r="R217" s="66" t="str">
        <x:v>C:\Users\admin\.codex\.chatgpt-projects\g-p-6910508be2a081919b9cb5881a96c92b\overnight_refinement_2026-08-27\reports\216_21k_Mp1p15_Ap2_Op0p0001_ise_report.json</x:v>
      </x:c>
    </x:row>
    <x:row r="218">
      <x:c r="A218" s="66" t="str">
        <x:v>217_21k_Mp1p15_Ap3_Op0p00001_ise</x:v>
      </x:c>
      <x:c r="B218" s="66" t="str">
        <x:v>21k</x:v>
      </x:c>
      <x:c r="C218" s="66" t="n">
        <x:v>1.15</x:v>
      </x:c>
      <x:c r="D218" s="66" t="n">
        <x:v>3</x:v>
      </x:c>
      <x:c r="E218" s="66" t="n">
        <x:v>0.00001</x:v>
      </x:c>
      <x:c r="F218" s="66" t="str">
        <x:v>isentropic</x:v>
      </x:c>
      <x:c r="G218" s="66" t="str">
        <x:v>FQRUP</x:v>
      </x:c>
      <x:c r="H218" s="66" t="str">
        <x:v>OK</x:v>
      </x:c>
      <x:c r="I218" s="66" t="n">
        <x:v>1</x:v>
      </x:c>
      <x:c r="J218" s="66" t="n">
        <x:v>0</x:v>
      </x:c>
      <x:c r="K218" s="66" t="n">
        <x:v>113.594</x:v>
      </x:c>
      <x:c r="L218" s="66" t="n">
        <x:v>0.0360661081654452</x:v>
      </x:c>
      <x:c r="M218" s="66" t="n">
        <x:v>0.00321506332237411</x:v>
      </x:c>
      <x:c r="N218" s="66" t="n">
        <x:v>0.00964662195764956</x:v>
      </x:c>
      <x:c r="O218" s="66" t="n">
        <x:v>0.0365215460023344</x:v>
      </x:c>
      <x:c r="P218" s="66" t="n">
        <x:v>0.00774584733872082</x:v>
      </x:c>
      <x:c r="Q218" s="66" t="n">
        <x:v>7.47137933473857e-9</x:v>
      </x:c>
      <x:c r="R218" s="66" t="str">
        <x:v>C:\Users\admin\.codex\.chatgpt-projects\g-p-6910508be2a081919b9cb5881a96c92b\overnight_refinement_2026-08-27\reports\217_21k_Mp1p15_Ap3_Op0p00001_ise_report.json</x:v>
      </x:c>
    </x:row>
    <x:row r="219">
      <x:c r="A219" s="66" t="str">
        <x:v>218_21k_Mp1p15_Ap3_Op0p0001_ise</x:v>
      </x:c>
      <x:c r="B219" s="66" t="str">
        <x:v>21k</x:v>
      </x:c>
      <x:c r="C219" s="66" t="n">
        <x:v>1.15</x:v>
      </x:c>
      <x:c r="D219" s="66" t="n">
        <x:v>3</x:v>
      </x:c>
      <x:c r="E219" s="66" t="n">
        <x:v>0.0001</x:v>
      </x:c>
      <x:c r="F219" s="66" t="str">
        <x:v>isentropic</x:v>
      </x:c>
      <x:c r="G219" s="66" t="str">
        <x:v>FQRUP</x:v>
      </x:c>
      <x:c r="H219" s="66" t="str">
        <x:v>OK</x:v>
      </x:c>
      <x:c r="I219" s="66" t="n">
        <x:v>1</x:v>
      </x:c>
      <x:c r="J219" s="66" t="n">
        <x:v>0</x:v>
      </x:c>
      <x:c r="K219" s="66" t="n">
        <x:v>113.344</x:v>
      </x:c>
      <x:c r="L219" s="66" t="n">
        <x:v>0.0360578418231552</x:v>
      </x:c>
      <x:c r="M219" s="66" t="n">
        <x:v>0.00322544624800749</x:v>
      </x:c>
      <x:c r="N219" s="66" t="n">
        <x:v>0.00967147195815628</x:v>
      </x:c>
      <x:c r="O219" s="66" t="n">
        <x:v>0.0365145915373184</x:v>
      </x:c>
      <x:c r="P219" s="66" t="n">
        <x:v>0.00777109591009387</x:v>
      </x:c>
      <x:c r="Q219" s="66" t="n">
        <x:v>7.45958273734637e-8</x:v>
      </x:c>
      <x:c r="R219" s="66" t="str">
        <x:v>C:\Users\admin\.codex\.chatgpt-projects\g-p-6910508be2a081919b9cb5881a96c92b\overnight_refinement_2026-08-27\reports\218_21k_Mp1p15_Ap3_Op0p0001_ise_report.json</x:v>
      </x:c>
    </x:row>
    <x:row r="220">
      <x:c r="A220" s="66" t="str">
        <x:v>219_21k_Mp1p15_Ap4_Op0p00001_ise</x:v>
      </x:c>
      <x:c r="B220" s="66" t="str">
        <x:v>21k</x:v>
      </x:c>
      <x:c r="C220" s="66" t="n">
        <x:v>1.15</x:v>
      </x:c>
      <x:c r="D220" s="66" t="n">
        <x:v>4</x:v>
      </x:c>
      <x:c r="E220" s="66" t="n">
        <x:v>0.00001</x:v>
      </x:c>
      <x:c r="F220" s="66" t="str">
        <x:v>isentropic</x:v>
      </x:c>
      <x:c r="G220" s="66" t="str">
        <x:v>FQRUP</x:v>
      </x:c>
      <x:c r="H220" s="66" t="str">
        <x:v>OK</x:v>
      </x:c>
      <x:c r="I220" s="66" t="n">
        <x:v>1</x:v>
      </x:c>
      <x:c r="J220" s="66" t="n">
        <x:v>0</x:v>
      </x:c>
      <x:c r="K220" s="66" t="n">
        <x:v>112.359</x:v>
      </x:c>
      <x:c r="L220" s="66" t="n">
        <x:v>0.032672290920408</x:v>
      </x:c>
      <x:c r="M220" s="66" t="n">
        <x:v>0.00668848389571697</x:v>
      </x:c>
      <x:c r="N220" s="66" t="n">
        <x:v>0.045227814496222</x:v>
      </x:c>
      <x:c r="O220" s="66" t="n">
        <x:v>0.0357476357162394</x:v>
      </x:c>
      <x:c r="P220" s="66" t="n">
        <x:v>0.0428385380095013</x:v>
      </x:c>
      <x:c r="Q220" s="66" t="n">
        <x:v>7.57118266301377e-9</x:v>
      </x:c>
      <x:c r="R220" s="66" t="str">
        <x:v>C:\Users\admin\.codex\.chatgpt-projects\g-p-6910508be2a081919b9cb5881a96c92b\overnight_refinement_2026-08-27\reports\219_21k_Mp1p15_Ap4_Op0p00001_ise_report.json</x:v>
      </x:c>
    </x:row>
    <x:row r="221">
      <x:c r="A221" s="66" t="str">
        <x:v>220_21k_Mp1p15_Ap4_Op0p0001_ise</x:v>
      </x:c>
      <x:c r="B221" s="66" t="str">
        <x:v>21k</x:v>
      </x:c>
      <x:c r="C221" s="66" t="n">
        <x:v>1.15</x:v>
      </x:c>
      <x:c r="D221" s="66" t="n">
        <x:v>4</x:v>
      </x:c>
      <x:c r="E221" s="66" t="n">
        <x:v>0.0001</x:v>
      </x:c>
      <x:c r="F221" s="66" t="str">
        <x:v>isentropic</x:v>
      </x:c>
      <x:c r="G221" s="66" t="str">
        <x:v>FQRUP</x:v>
      </x:c>
      <x:c r="H221" s="66" t="str">
        <x:v>OK</x:v>
      </x:c>
      <x:c r="I221" s="66" t="n">
        <x:v>1</x:v>
      </x:c>
      <x:c r="J221" s="66" t="n">
        <x:v>0</x:v>
      </x:c>
      <x:c r="K221" s="66" t="n">
        <x:v>113.11</x:v>
      </x:c>
      <x:c r="L221" s="66" t="n">
        <x:v>0.0326638966135151</x:v>
      </x:c>
      <x:c r="M221" s="66" t="n">
        <x:v>0.00670403622390213</x:v>
      </x:c>
      <x:c r="N221" s="66" t="n">
        <x:v>0.045245482225792</x:v>
      </x:c>
      <x:c r="O221" s="66" t="n">
        <x:v>0.03574049429597</x:v>
      </x:c>
      <x:c r="P221" s="66" t="n">
        <x:v>0.0428567482586185</x:v>
      </x:c>
      <x:c r="Q221" s="66" t="n">
        <x:v>7.55512160170309e-8</x:v>
      </x:c>
      <x:c r="R221" s="66" t="str">
        <x:v>C:\Users\admin\.codex\.chatgpt-projects\g-p-6910508be2a081919b9cb5881a96c92b\overnight_refinement_2026-08-27\reports\220_21k_Mp1p15_Ap4_Op0p0001_ise_report.json</x:v>
      </x:c>
    </x:row>
    <x:row r="222">
      <x:c r="A222" s="66" t="str">
        <x:v>221_21k_Mp1p2_Am4_Op0p00001_ise</x:v>
      </x:c>
      <x:c r="B222" s="66" t="str">
        <x:v>21k</x:v>
      </x:c>
      <x:c r="C222" s="66" t="n">
        <x:v>1.2</x:v>
      </x:c>
      <x:c r="D222" s="66" t="n">
        <x:v>-4</x:v>
      </x:c>
      <x:c r="E222" s="66" t="n">
        <x:v>0.00001</x:v>
      </x:c>
      <x:c r="F222" s="66" t="str">
        <x:v>isentropic</x:v>
      </x:c>
      <x:c r="G222" s="66" t="str">
        <x:v>FQRUP</x:v>
      </x:c>
      <x:c r="H222" s="66" t="str">
        <x:v>OK</x:v>
      </x:c>
      <x:c r="I222" s="66" t="n">
        <x:v>1</x:v>
      </x:c>
      <x:c r="J222" s="66" t="n">
        <x:v>0</x:v>
      </x:c>
      <x:c r="K222" s="66" t="n">
        <x:v>99.5</x:v>
      </x:c>
      <x:c r="L222" s="66" t="n">
        <x:v>0.0320126115731019</x:v>
      </x:c>
      <x:c r="M222" s="66" t="n">
        <x:v>-0.0101020098157496</x:v>
      </x:c>
      <x:c r="N222" s="66" t="n">
        <x:v>-0.037965899816806</x:v>
      </x:c>
      <x:c r="O222" s="66" t="n">
        <x:v>0.0345829977540012</x:v>
      </x:c>
      <x:c r="P222" s="66" t="n">
        <x:v>-0.0356403298943317</x:v>
      </x:c>
      <x:c r="Q222" s="66" t="n">
        <x:v>8.67209010256454e-9</x:v>
      </x:c>
      <x:c r="R222" s="66" t="str">
        <x:v>C:\Users\admin\.codex\.chatgpt-projects\g-p-6910508be2a081919b9cb5881a96c92b\overnight_refinement_2026-08-27\reports\221_21k_Mp1p2_Am4_Op0p00001_ise_report.json</x:v>
      </x:c>
    </x:row>
    <x:row r="223">
      <x:c r="A223" s="66" t="str">
        <x:v>222_21k_Mp1p2_Am4_Op0p0001_ise</x:v>
      </x:c>
      <x:c r="B223" s="66" t="str">
        <x:v>21k</x:v>
      </x:c>
      <x:c r="C223" s="66" t="n">
        <x:v>1.2</x:v>
      </x:c>
      <x:c r="D223" s="66" t="n">
        <x:v>-4</x:v>
      </x:c>
      <x:c r="E223" s="66" t="n">
        <x:v>0.0001</x:v>
      </x:c>
      <x:c r="F223" s="66" t="str">
        <x:v>isentropic</x:v>
      </x:c>
      <x:c r="G223" s="66" t="str">
        <x:v>FQRUP</x:v>
      </x:c>
      <x:c r="H223" s="66" t="str">
        <x:v>OK</x:v>
      </x:c>
      <x:c r="I223" s="66" t="n">
        <x:v>1</x:v>
      </x:c>
      <x:c r="J223" s="66" t="n">
        <x:v>0</x:v>
      </x:c>
      <x:c r="K223" s="66" t="n">
        <x:v>100.25</x:v>
      </x:c>
      <x:c r="L223" s="66" t="n">
        <x:v>0.0320058385846443</x:v>
      </x:c>
      <x:c r="M223" s="66" t="n">
        <x:v>-0.0101128260404265</x:v>
      </x:c>
      <x:c r="N223" s="66" t="n">
        <x:v>-0.0379802222892933</x:v>
      </x:c>
      <x:c r="O223" s="66" t="n">
        <x:v>0.0345772403493791</x:v>
      </x:c>
      <x:c r="P223" s="66" t="n">
        <x:v>-0.0356550899377874</x:v>
      </x:c>
      <x:c r="Q223" s="66" t="n">
        <x:v>8.66669940835574e-8</x:v>
      </x:c>
      <x:c r="R223" s="66" t="str">
        <x:v>C:\Users\admin\.codex\.chatgpt-projects\g-p-6910508be2a081919b9cb5881a96c92b\overnight_refinement_2026-08-27\reports\222_21k_Mp1p2_Am4_Op0p0001_ise_report.json</x:v>
      </x:c>
    </x:row>
    <x:row r="224">
      <x:c r="A224" s="66" t="str">
        <x:v>223_21k_Mp1p2_Am3_Op0p00001_ise</x:v>
      </x:c>
      <x:c r="B224" s="66" t="str">
        <x:v>21k</x:v>
      </x:c>
      <x:c r="C224" s="66" t="n">
        <x:v>1.2</x:v>
      </x:c>
      <x:c r="D224" s="66" t="n">
        <x:v>-3</x:v>
      </x:c>
      <x:c r="E224" s="66" t="n">
        <x:v>0.00001</x:v>
      </x:c>
      <x:c r="F224" s="66" t="str">
        <x:v>isentropic</x:v>
      </x:c>
      <x:c r="G224" s="66" t="str">
        <x:v>FQRUP</x:v>
      </x:c>
      <x:c r="H224" s="66" t="str">
        <x:v>OK</x:v>
      </x:c>
      <x:c r="I224" s="66" t="n">
        <x:v>1</x:v>
      </x:c>
      <x:c r="J224" s="66" t="n">
        <x:v>0</x:v>
      </x:c>
      <x:c r="K224" s="66" t="n">
        <x:v>99.328</x:v>
      </x:c>
      <x:c r="L224" s="66" t="n">
        <x:v>0.034819827900938</x:v>
      </x:c>
      <x:c r="M224" s="66" t="n">
        <x:v>-0.00641935192883512</x:v>
      </x:c>
      <x:c r="N224" s="66" t="n">
        <x:v>-0.00976903681681392</x:v>
      </x:c>
      <x:c r="O224" s="66" t="n">
        <x:v>0.0352833804203285</x:v>
      </x:c>
      <x:c r="P224" s="66" t="n">
        <x:v>-0.00793331970196486</x:v>
      </x:c>
      <x:c r="Q224" s="66" t="n">
        <x:v>8.40675012713078e-9</x:v>
      </x:c>
      <x:c r="R224" s="66" t="str">
        <x:v>C:\Users\admin\.codex\.chatgpt-projects\g-p-6910508be2a081919b9cb5881a96c92b\overnight_refinement_2026-08-27\reports\223_21k_Mp1p2_Am3_Op0p00001_ise_report.json</x:v>
      </x:c>
    </x:row>
    <x:row r="225">
      <x:c r="A225" s="66" t="str">
        <x:v>224_21k_Mp1p2_Am3_Op0p0001_ise</x:v>
      </x:c>
      <x:c r="B225" s="66" t="str">
        <x:v>21k</x:v>
      </x:c>
      <x:c r="C225" s="66" t="n">
        <x:v>1.2</x:v>
      </x:c>
      <x:c r="D225" s="66" t="n">
        <x:v>-3</x:v>
      </x:c>
      <x:c r="E225" s="66" t="n">
        <x:v>0.0001</x:v>
      </x:c>
      <x:c r="F225" s="66" t="str">
        <x:v>isentropic</x:v>
      </x:c>
      <x:c r="G225" s="66" t="str">
        <x:v>FQRUP</x:v>
      </x:c>
      <x:c r="H225" s="66" t="str">
        <x:v>OK</x:v>
      </x:c>
      <x:c r="I225" s="66" t="n">
        <x:v>1</x:v>
      </x:c>
      <x:c r="J225" s="66" t="n">
        <x:v>0</x:v>
      </x:c>
      <x:c r="K225" s="66" t="n">
        <x:v>99.609</x:v>
      </x:c>
      <x:c r="L225" s="66" t="n">
        <x:v>0.0348126948880104</x:v>
      </x:c>
      <x:c r="M225" s="66" t="n">
        <x:v>-0.00642365103619713</x:v>
      </x:c>
      <x:c r="N225" s="66" t="n">
        <x:v>-0.00977348281937333</x:v>
      </x:c>
      <x:c r="O225" s="66" t="n">
        <x:v>0.0352764898687426</x:v>
      </x:c>
      <x:c r="P225" s="66" t="n">
        <x:v>-0.00793813292448474</x:v>
      </x:c>
      <x:c r="Q225" s="66" t="n">
        <x:v>8.39969428719714e-8</x:v>
      </x:c>
      <x:c r="R225" s="66" t="str">
        <x:v>C:\Users\admin\.codex\.chatgpt-projects\g-p-6910508be2a081919b9cb5881a96c92b\overnight_refinement_2026-08-27\reports\224_21k_Mp1p2_Am3_Op0p0001_ise_report.json</x:v>
      </x:c>
    </x:row>
    <x:row r="226">
      <x:c r="A226" s="66" t="str">
        <x:v>225_21k_Mp1p2_Am2_Op0p00001_ise</x:v>
      </x:c>
      <x:c r="B226" s="66" t="str">
        <x:v>21k</x:v>
      </x:c>
      <x:c r="C226" s="66" t="n">
        <x:v>1.2</x:v>
      </x:c>
      <x:c r="D226" s="66" t="n">
        <x:v>-2</x:v>
      </x:c>
      <x:c r="E226" s="66" t="n">
        <x:v>0.00001</x:v>
      </x:c>
      <x:c r="F226" s="66" t="str">
        <x:v>isentropic</x:v>
      </x:c>
      <x:c r="G226" s="66" t="str">
        <x:v>FQRUP</x:v>
      </x:c>
      <x:c r="H226" s="66" t="str">
        <x:v>OK</x:v>
      </x:c>
      <x:c r="I226" s="66" t="n">
        <x:v>1</x:v>
      </x:c>
      <x:c r="J226" s="66" t="n">
        <x:v>0</x:v>
      </x:c>
      <x:c r="K226" s="66" t="n">
        <x:v>99.593</x:v>
      </x:c>
      <x:c r="L226" s="66" t="n">
        <x:v>0.0375684412288728</x:v>
      </x:c>
      <x:c r="M226" s="66" t="n">
        <x:v>-0.00192835334774786</x:v>
      </x:c>
      <x:c r="N226" s="66" t="n">
        <x:v>0.0033464878782578</x:v>
      </x:c>
      <x:c r="O226" s="66" t="n">
        <x:v>0.0374287648068693</x:v>
      </x:c>
      <x:c r="P226" s="66" t="n">
        <x:v>0.00465556897904659</x:v>
      </x:c>
      <x:c r="Q226" s="66" t="n">
        <x:v>8.37581293090987e-9</x:v>
      </x:c>
      <x:c r="R226" s="66" t="str">
        <x:v>C:\Users\admin\.codex\.chatgpt-projects\g-p-6910508be2a081919b9cb5881a96c92b\overnight_refinement_2026-08-27\reports\225_21k_Mp1p2_Am2_Op0p00001_ise_report.json</x:v>
      </x:c>
    </x:row>
    <x:row r="227">
      <x:c r="A227" s="66" t="str">
        <x:v>226_21k_Mp1p2_Am2_Op0p0001_ise</x:v>
      </x:c>
      <x:c r="B227" s="66" t="str">
        <x:v>21k</x:v>
      </x:c>
      <x:c r="C227" s="66" t="n">
        <x:v>1.2</x:v>
      </x:c>
      <x:c r="D227" s="66" t="n">
        <x:v>-2</x:v>
      </x:c>
      <x:c r="E227" s="66" t="n">
        <x:v>0.0001</x:v>
      </x:c>
      <x:c r="F227" s="66" t="str">
        <x:v>isentropic</x:v>
      </x:c>
      <x:c r="G227" s="66" t="str">
        <x:v>FQRUP</x:v>
      </x:c>
      <x:c r="H227" s="66" t="str">
        <x:v>OK</x:v>
      </x:c>
      <x:c r="I227" s="66" t="n">
        <x:v>1</x:v>
      </x:c>
      <x:c r="J227" s="66" t="n">
        <x:v>0</x:v>
      </x:c>
      <x:c r="K227" s="66" t="n">
        <x:v>99.438</x:v>
      </x:c>
      <x:c r="L227" s="66" t="n">
        <x:v>0.0375629593767332</x:v>
      </x:c>
      <x:c r="M227" s="66" t="n">
        <x:v>-0.00192751185474384</x:v>
      </x:c>
      <x:c r="N227" s="66" t="n">
        <x:v>0.00335360623683998</x:v>
      </x:c>
      <x:c r="O227" s="66" t="n">
        <x:v>0.037423037866994</x:v>
      </x:c>
      <x:c r="P227" s="66" t="n">
        <x:v>0.00466249168743638</x:v>
      </x:c>
      <x:c r="Q227" s="66" t="n">
        <x:v>8.36929720732198e-8</x:v>
      </x:c>
      <x:c r="R227" s="66" t="str">
        <x:v>C:\Users\admin\.codex\.chatgpt-projects\g-p-6910508be2a081919b9cb5881a96c92b\overnight_refinement_2026-08-27\reports\226_21k_Mp1p2_Am2_Op0p0001_ise_report.json</x:v>
      </x:c>
    </x:row>
    <x:row r="228">
      <x:c r="A228" s="66" t="str">
        <x:v>227_21k_Mp1p2_Am1_Op0p00001_ise</x:v>
      </x:c>
      <x:c r="B228" s="66" t="str">
        <x:v>21k</x:v>
      </x:c>
      <x:c r="C228" s="66" t="n">
        <x:v>1.2</x:v>
      </x:c>
      <x:c r="D228" s="66" t="n">
        <x:v>-1</x:v>
      </x:c>
      <x:c r="E228" s="66" t="n">
        <x:v>0.00001</x:v>
      </x:c>
      <x:c r="F228" s="66" t="str">
        <x:v>isentropic</x:v>
      </x:c>
      <x:c r="G228" s="66" t="str">
        <x:v>FQRUP</x:v>
      </x:c>
      <x:c r="H228" s="66" t="str">
        <x:v>OK</x:v>
      </x:c>
      <x:c r="I228" s="66" t="n">
        <x:v>1</x:v>
      </x:c>
      <x:c r="J228" s="66" t="n">
        <x:v>0</x:v>
      </x:c>
      <x:c r="K228" s="66" t="n">
        <x:v>100.032</x:v>
      </x:c>
      <x:c r="L228" s="66" t="n">
        <x:v>0.0395671481884471</x:v>
      </x:c>
      <x:c r="M228" s="66" t="n">
        <x:v>-0.000547897050023855</x:v>
      </x:c>
      <x:c r="N228" s="66" t="n">
        <x:v>0.00360680805106239</x:v>
      </x:c>
      <x:c r="O228" s="66" t="n">
        <x:v>0.0394981744400818</x:v>
      </x:c>
      <x:c r="P228" s="66" t="n">
        <x:v>0.00429680066847525</x:v>
      </x:c>
      <x:c r="Q228" s="66" t="n">
        <x:v>8.33920237048079e-9</x:v>
      </x:c>
      <x:c r="R228" s="66" t="str">
        <x:v>C:\Users\admin\.codex\.chatgpt-projects\g-p-6910508be2a081919b9cb5881a96c92b\overnight_refinement_2026-08-27\reports\227_21k_Mp1p2_Am1_Op0p00001_ise_report.json</x:v>
      </x:c>
    </x:row>
    <x:row r="229">
      <x:c r="A229" s="66" t="str">
        <x:v>228_21k_Mp1p2_Am1_Op0p0001_ise</x:v>
      </x:c>
      <x:c r="B229" s="66" t="str">
        <x:v>21k</x:v>
      </x:c>
      <x:c r="C229" s="66" t="n">
        <x:v>1.2</x:v>
      </x:c>
      <x:c r="D229" s="66" t="n">
        <x:v>-1</x:v>
      </x:c>
      <x:c r="E229" s="66" t="n">
        <x:v>0.0001</x:v>
      </x:c>
      <x:c r="F229" s="66" t="str">
        <x:v>isentropic</x:v>
      </x:c>
      <x:c r="G229" s="66" t="str">
        <x:v>FQRUP</x:v>
      </x:c>
      <x:c r="H229" s="66" t="str">
        <x:v>OK</x:v>
      </x:c>
      <x:c r="I229" s="66" t="n">
        <x:v>1</x:v>
      </x:c>
      <x:c r="J229" s="66" t="n">
        <x:v>0</x:v>
      </x:c>
      <x:c r="K229" s="66" t="n">
        <x:v>99.672</x:v>
      </x:c>
      <x:c r="L229" s="66" t="n">
        <x:v>0.0395648169753467</x:v>
      </x:c>
      <x:c r="M229" s="66" t="n">
        <x:v>-0.000547592186890294</x:v>
      </x:c>
      <x:c r="N229" s="66" t="n">
        <x:v>0.00362784128569679</x:v>
      </x:c>
      <x:c r="O229" s="66" t="n">
        <x:v>0.0394954765014769</x:v>
      </x:c>
      <x:c r="P229" s="66" t="n">
        <x:v>0.00431779001436762</x:v>
      </x:c>
      <x:c r="Q229" s="66" t="n">
        <x:v>8.33254412456286e-8</x:v>
      </x:c>
      <x:c r="R229" s="66" t="str">
        <x:v>C:\Users\admin\.codex\.chatgpt-projects\g-p-6910508be2a081919b9cb5881a96c92b\overnight_refinement_2026-08-27\reports\228_21k_Mp1p2_Am1_Op0p0001_ise_report.json</x:v>
      </x:c>
    </x:row>
    <x:row r="230">
      <x:c r="A230" s="66" t="str">
        <x:v>229_21k_Mp1p2_Ap0_Op0p00001_ise</x:v>
      </x:c>
      <x:c r="B230" s="66" t="str">
        <x:v>21k</x:v>
      </x:c>
      <x:c r="C230" s="66" t="n">
        <x:v>1.2</x:v>
      </x:c>
      <x:c r="D230" s="66" t="n">
        <x:v>0</x:v>
      </x:c>
      <x:c r="E230" s="66" t="n">
        <x:v>0.00001</x:v>
      </x:c>
      <x:c r="F230" s="66" t="str">
        <x:v>isentropic</x:v>
      </x:c>
      <x:c r="G230" s="66" t="str">
        <x:v>FQRUP</x:v>
      </x:c>
      <x:c r="H230" s="66" t="str">
        <x:v>OK</x:v>
      </x:c>
      <x:c r="I230" s="66" t="n">
        <x:v>1</x:v>
      </x:c>
      <x:c r="J230" s="66" t="n">
        <x:v>0</x:v>
      </x:c>
      <x:c r="K230" s="66" t="n">
        <x:v>100.313</x:v>
      </x:c>
      <x:c r="L230" s="66" t="n">
        <x:v>0.0406122053904782</x:v>
      </x:c>
      <x:c r="M230" s="66" t="n">
        <x:v>-0.00050369636713812</x:v>
      </x:c>
      <x:c r="N230" s="66" t="n">
        <x:v>-0.0014143136803097</x:v>
      </x:c>
      <x:c r="O230" s="66" t="n">
        <x:v>0.0406122053904782</x:v>
      </x:c>
      <x:c r="P230" s="66" t="n">
        <x:v>-0.0014143136803097</x:v>
      </x:c>
      <x:c r="Q230" s="66" t="n">
        <x:v>8.93140926538896e-9</x:v>
      </x:c>
      <x:c r="R230" s="66" t="str">
        <x:v>C:\Users\admin\.codex\.chatgpt-projects\g-p-6910508be2a081919b9cb5881a96c92b\overnight_refinement_2026-08-27\reports\229_21k_Mp1p2_Ap0_Op0p00001_ise_report.json</x:v>
      </x:c>
    </x:row>
    <x:row r="231">
      <x:c r="A231" s="66" t="str">
        <x:v>230_21k_Mp1p2_Ap0_Op0p0001_ise</x:v>
      </x:c>
      <x:c r="B231" s="66" t="str">
        <x:v>21k</x:v>
      </x:c>
      <x:c r="C231" s="66" t="n">
        <x:v>1.2</x:v>
      </x:c>
      <x:c r="D231" s="66" t="n">
        <x:v>0</x:v>
      </x:c>
      <x:c r="E231" s="66" t="n">
        <x:v>0.0001</x:v>
      </x:c>
      <x:c r="F231" s="66" t="str">
        <x:v>isentropic</x:v>
      </x:c>
      <x:c r="G231" s="66" t="str">
        <x:v>FQRUP</x:v>
      </x:c>
      <x:c r="H231" s="66" t="str">
        <x:v>OK</x:v>
      </x:c>
      <x:c r="I231" s="66" t="n">
        <x:v>1</x:v>
      </x:c>
      <x:c r="J231" s="66" t="n">
        <x:v>0</x:v>
      </x:c>
      <x:c r="K231" s="66" t="n">
        <x:v>99.86</x:v>
      </x:c>
      <x:c r="L231" s="66" t="n">
        <x:v>0.0406075349903268</x:v>
      </x:c>
      <x:c r="M231" s="66" t="n">
        <x:v>-0.00050303614150044</x:v>
      </x:c>
      <x:c r="N231" s="66" t="n">
        <x:v>-0.00139441675821612</x:v>
      </x:c>
      <x:c r="O231" s="66" t="n">
        <x:v>0.0406075349903268</x:v>
      </x:c>
      <x:c r="P231" s="66" t="n">
        <x:v>-0.00139441675821612</x:v>
      </x:c>
      <x:c r="Q231" s="66" t="n">
        <x:v>8.93600878557674e-8</x:v>
      </x:c>
      <x:c r="R231" s="66" t="str">
        <x:v>C:\Users\admin\.codex\.chatgpt-projects\g-p-6910508be2a081919b9cb5881a96c92b\overnight_refinement_2026-08-27\reports\230_21k_Mp1p2_Ap0_Op0p0001_ise_report.json</x:v>
      </x:c>
    </x:row>
    <x:row r="232">
      <x:c r="A232" s="66" t="str">
        <x:v>231_21k_Mp1p2_Ap1_Op0p00001_ise</x:v>
      </x:c>
      <x:c r="B232" s="66" t="str">
        <x:v>21k</x:v>
      </x:c>
      <x:c r="C232" s="66" t="n">
        <x:v>1.2</x:v>
      </x:c>
      <x:c r="D232" s="66" t="n">
        <x:v>1</x:v>
      </x:c>
      <x:c r="E232" s="66" t="n">
        <x:v>0.00001</x:v>
      </x:c>
      <x:c r="F232" s="66" t="str">
        <x:v>isentropic</x:v>
      </x:c>
      <x:c r="G232" s="66" t="str">
        <x:v>FQRUP</x:v>
      </x:c>
      <x:c r="H232" s="66" t="str">
        <x:v>OK</x:v>
      </x:c>
      <x:c r="I232" s="66" t="n">
        <x:v>1</x:v>
      </x:c>
      <x:c r="J232" s="66" t="n">
        <x:v>0</x:v>
      </x:c>
      <x:c r="K232" s="66" t="n">
        <x:v>100.203</x:v>
      </x:c>
      <x:c r="L232" s="66" t="n">
        <x:v>0.0398060648684901</x:v>
      </x:c>
      <x:c r="M232" s="66" t="n">
        <x:v>-0.00041528026713115</x:v>
      </x:c>
      <x:c r="N232" s="66" t="n">
        <x:v>-0.00660457400988377</x:v>
      </x:c>
      <x:c r="O232" s="66" t="n">
        <x:v>0.03968473650204</x:v>
      </x:c>
      <x:c r="P232" s="66" t="n">
        <x:v>-0.00729827972402585</x:v>
      </x:c>
      <x:c r="Q232" s="66" t="n">
        <x:v>8.98116062250758e-9</x:v>
      </x:c>
      <x:c r="R232" s="66" t="str">
        <x:v>C:\Users\admin\.codex\.chatgpt-projects\g-p-6910508be2a081919b9cb5881a96c92b\overnight_refinement_2026-08-27\reports\231_21k_Mp1p2_Ap1_Op0p00001_ise_report.json</x:v>
      </x:c>
    </x:row>
    <x:row r="233">
      <x:c r="A233" s="66" t="str">
        <x:v>232_21k_Mp1p2_Ap1_Op0p0001_ise</x:v>
      </x:c>
      <x:c r="B233" s="66" t="str">
        <x:v>21k</x:v>
      </x:c>
      <x:c r="C233" s="66" t="n">
        <x:v>1.2</x:v>
      </x:c>
      <x:c r="D233" s="66" t="n">
        <x:v>1</x:v>
      </x:c>
      <x:c r="E233" s="66" t="n">
        <x:v>0.0001</x:v>
      </x:c>
      <x:c r="F233" s="66" t="str">
        <x:v>isentropic</x:v>
      </x:c>
      <x:c r="G233" s="66" t="str">
        <x:v>FQRUP</x:v>
      </x:c>
      <x:c r="H233" s="66" t="str">
        <x:v>OK</x:v>
      </x:c>
      <x:c r="I233" s="66" t="n">
        <x:v>1</x:v>
      </x:c>
      <x:c r="J233" s="66" t="n">
        <x:v>0</x:v>
      </x:c>
      <x:c r="K233" s="66" t="n">
        <x:v>99.688</x:v>
      </x:c>
      <x:c r="L233" s="66" t="n">
        <x:v>0.0398003995187265</x:v>
      </x:c>
      <x:c r="M233" s="66" t="n">
        <x:v>-0.000414881429639439</x:v>
      </x:c>
      <x:c r="N233" s="66" t="n">
        <x:v>-0.00658266491486263</x:v>
      </x:c>
      <x:c r="O233" s="66" t="n">
        <x:v>0.0396794543815676</x:v>
      </x:c>
      <x:c r="P233" s="66" t="n">
        <x:v>-0.00727627509187932</x:v>
      </x:c>
      <x:c r="Q233" s="66" t="n">
        <x:v>8.96398554655643e-8</x:v>
      </x:c>
      <x:c r="R233" s="66" t="str">
        <x:v>C:\Users\admin\.codex\.chatgpt-projects\g-p-6910508be2a081919b9cb5881a96c92b\overnight_refinement_2026-08-27\reports\232_21k_Mp1p2_Ap1_Op0p0001_ise_report.json</x:v>
      </x:c>
    </x:row>
    <x:row r="234">
      <x:c r="A234" s="66" t="str">
        <x:v>233_21k_Mp1p2_Ap2_Op0p00001_ise</x:v>
      </x:c>
      <x:c r="B234" s="66" t="str">
        <x:v>21k</x:v>
      </x:c>
      <x:c r="C234" s="66" t="n">
        <x:v>1.2</x:v>
      </x:c>
      <x:c r="D234" s="66" t="n">
        <x:v>2</x:v>
      </x:c>
      <x:c r="E234" s="66" t="n">
        <x:v>0.00001</x:v>
      </x:c>
      <x:c r="F234" s="66" t="str">
        <x:v>isentropic</x:v>
      </x:c>
      <x:c r="G234" s="66" t="str">
        <x:v>FQRUP</x:v>
      </x:c>
      <x:c r="H234" s="66" t="str">
        <x:v>OK</x:v>
      </x:c>
      <x:c r="I234" s="66" t="n">
        <x:v>1</x:v>
      </x:c>
      <x:c r="J234" s="66" t="n">
        <x:v>0</x:v>
      </x:c>
      <x:c r="K234" s="66" t="n">
        <x:v>99.984</x:v>
      </x:c>
      <x:c r="L234" s="66" t="n">
        <x:v>0.0367872235088941</x:v>
      </x:c>
      <x:c r="M234" s="66" t="n">
        <x:v>0.00136285702344817</x:v>
      </x:c>
      <x:c r="N234" s="66" t="n">
        <x:v>-0.00367069712203762</x:v>
      </x:c>
      <x:c r="O234" s="66" t="n">
        <x:v>0.0366367082441836</x:v>
      </x:c>
      <x:c r="P234" s="66" t="n">
        <x:v>-0.00495231661807261</x:v>
      </x:c>
      <x:c r="Q234" s="66" t="n">
        <x:v>9.01150796780396e-9</x:v>
      </x:c>
      <x:c r="R234" s="66" t="str">
        <x:v>C:\Users\admin\.codex\.chatgpt-projects\g-p-6910508be2a081919b9cb5881a96c92b\overnight_refinement_2026-08-27\reports\233_21k_Mp1p2_Ap2_Op0p00001_ise_report.json</x:v>
      </x:c>
    </x:row>
    <x:row r="235">
      <x:c r="A235" s="66" t="str">
        <x:v>234_21k_Mp1p2_Ap2_Op0p0001_ise</x:v>
      </x:c>
      <x:c r="B235" s="66" t="str">
        <x:v>21k</x:v>
      </x:c>
      <x:c r="C235" s="66" t="n">
        <x:v>1.2</x:v>
      </x:c>
      <x:c r="D235" s="66" t="n">
        <x:v>2</x:v>
      </x:c>
      <x:c r="E235" s="66" t="n">
        <x:v>0.0001</x:v>
      </x:c>
      <x:c r="F235" s="66" t="str">
        <x:v>isentropic</x:v>
      </x:c>
      <x:c r="G235" s="66" t="str">
        <x:v>FQRUP</x:v>
      </x:c>
      <x:c r="H235" s="66" t="str">
        <x:v>OK</x:v>
      </x:c>
      <x:c r="I235" s="66" t="n">
        <x:v>1</x:v>
      </x:c>
      <x:c r="J235" s="66" t="n">
        <x:v>0</x:v>
      </x:c>
      <x:c r="K235" s="66" t="n">
        <x:v>99.61</x:v>
      </x:c>
      <x:c r="L235" s="66" t="n">
        <x:v>0.0367806249444925</x:v>
      </x:c>
      <x:c r="M235" s="66" t="n">
        <x:v>0.00136801672573127</x:v>
      </x:c>
      <x:c r="N235" s="66" t="n">
        <x:v>-0.00364293757401786</x:v>
      </x:c>
      <x:c r="O235" s="66" t="n">
        <x:v>0.0366310824937037</x:v>
      </x:c>
      <x:c r="P235" s="66" t="n">
        <x:v>-0.00492434369384289</x:v>
      </x:c>
      <x:c r="Q235" s="66" t="n">
        <x:v>8.99266054031018e-8</x:v>
      </x:c>
      <x:c r="R235" s="66" t="str">
        <x:v>C:\Users\admin\.codex\.chatgpt-projects\g-p-6910508be2a081919b9cb5881a96c92b\overnight_refinement_2026-08-27\reports\234_21k_Mp1p2_Ap2_Op0p0001_ise_report.json</x:v>
      </x:c>
    </x:row>
    <x:row r="236">
      <x:c r="A236" s="66" t="str">
        <x:v>235_21k_Mp1p2_Ap3_Op0p00001_ise</x:v>
      </x:c>
      <x:c r="B236" s="66" t="str">
        <x:v>21k</x:v>
      </x:c>
      <x:c r="C236" s="66" t="n">
        <x:v>1.2</x:v>
      </x:c>
      <x:c r="D236" s="66" t="n">
        <x:v>3</x:v>
      </x:c>
      <x:c r="E236" s="66" t="n">
        <x:v>0.00001</x:v>
      </x:c>
      <x:c r="F236" s="66" t="str">
        <x:v>isentropic</x:v>
      </x:c>
      <x:c r="G236" s="66" t="str">
        <x:v>FQRUP</x:v>
      </x:c>
      <x:c r="H236" s="66" t="str">
        <x:v>OK</x:v>
      </x:c>
      <x:c r="I236" s="66" t="n">
        <x:v>1</x:v>
      </x:c>
      <x:c r="J236" s="66" t="n">
        <x:v>0</x:v>
      </x:c>
      <x:c r="K236" s="66" t="n">
        <x:v>99.546</x:v>
      </x:c>
      <x:c r="L236" s="66" t="n">
        <x:v>0.0331247171328758</x:v>
      </x:c>
      <x:c r="M236" s="66" t="n">
        <x:v>0.00289088628747126</x:v>
      </x:c>
      <x:c r="N236" s="66" t="n">
        <x:v>0.0169605735782175</x:v>
      </x:c>
      <x:c r="O236" s="66" t="n">
        <x:v>0.0339669686959254</x:v>
      </x:c>
      <x:c r="P236" s="66" t="n">
        <x:v>0.01520371595516</x:v>
      </x:c>
      <x:c r="Q236" s="66" t="n">
        <x:v>9.07403313434786e-9</x:v>
      </x:c>
      <x:c r="R236" s="66" t="str">
        <x:v>C:\Users\admin\.codex\.chatgpt-projects\g-p-6910508be2a081919b9cb5881a96c92b\overnight_refinement_2026-08-27\reports\235_21k_Mp1p2_Ap3_Op0p00001_ise_report.json</x:v>
      </x:c>
    </x:row>
    <x:row r="237">
      <x:c r="A237" s="66" t="str">
        <x:v>236_21k_Mp1p2_Ap3_Op0p0001_ise</x:v>
      </x:c>
      <x:c r="B237" s="66" t="str">
        <x:v>21k</x:v>
      </x:c>
      <x:c r="C237" s="66" t="n">
        <x:v>1.2</x:v>
      </x:c>
      <x:c r="D237" s="66" t="n">
        <x:v>3</x:v>
      </x:c>
      <x:c r="E237" s="66" t="n">
        <x:v>0.0001</x:v>
      </x:c>
      <x:c r="F237" s="66" t="str">
        <x:v>isentropic</x:v>
      </x:c>
      <x:c r="G237" s="66" t="str">
        <x:v>FQRUP</x:v>
      </x:c>
      <x:c r="H237" s="66" t="str">
        <x:v>OK</x:v>
      </x:c>
      <x:c r="I237" s="66" t="n">
        <x:v>1</x:v>
      </x:c>
      <x:c r="J237" s="66" t="n">
        <x:v>0</x:v>
      </x:c>
      <x:c r="K237" s="66" t="n">
        <x:v>100</x:v>
      </x:c>
      <x:c r="L237" s="66" t="n">
        <x:v>0.03311585019219</x:v>
      </x:c>
      <x:c r="M237" s="66" t="n">
        <x:v>0.00289913507669144</x:v>
      </x:c>
      <x:c r="N237" s="66" t="n">
        <x:v>0.0169808343365197</x:v>
      </x:c>
      <x:c r="O237" s="66" t="n">
        <x:v>0.0339591742732336</x:v>
      </x:c>
      <x:c r="P237" s="66" t="n">
        <x:v>0.0152244130066168</x:v>
      </x:c>
      <x:c r="Q237" s="66" t="n">
        <x:v>9.05385944438166e-8</x:v>
      </x:c>
      <x:c r="R237" s="66" t="str">
        <x:v>C:\Users\admin\.codex\.chatgpt-projects\g-p-6910508be2a081919b9cb5881a96c92b\overnight_refinement_2026-08-27\reports\236_21k_Mp1p2_Ap3_Op0p0001_ise_report.json</x:v>
      </x:c>
    </x:row>
    <x:row r="238">
      <x:c r="A238" s="66" t="str">
        <x:v>237_21k_Mp1p2_Ap4_Op0p00001_ise</x:v>
      </x:c>
      <x:c r="B238" s="66" t="str">
        <x:v>21k</x:v>
      </x:c>
      <x:c r="C238" s="66" t="n">
        <x:v>1.2</x:v>
      </x:c>
      <x:c r="D238" s="66" t="n">
        <x:v>4</x:v>
      </x:c>
      <x:c r="E238" s="66" t="n">
        <x:v>0.00001</x:v>
      </x:c>
      <x:c r="F238" s="66" t="str">
        <x:v>isentropic</x:v>
      </x:c>
      <x:c r="G238" s="66" t="str">
        <x:v>FQRUP</x:v>
      </x:c>
      <x:c r="H238" s="66" t="str">
        <x:v>OK</x:v>
      </x:c>
      <x:c r="I238" s="66" t="n">
        <x:v>1</x:v>
      </x:c>
      <x:c r="J238" s="66" t="n">
        <x:v>0</x:v>
      </x:c>
      <x:c r="K238" s="66" t="n">
        <x:v>99.703</x:v>
      </x:c>
      <x:c r="L238" s="66" t="n">
        <x:v>0.0291265425101804</x:v>
      </x:c>
      <x:c r="M238" s="66" t="n">
        <x:v>0.00831300895912263</x:v>
      </x:c>
      <x:c r="N238" s="66" t="n">
        <x:v>0.0555347608693878</x:v>
      </x:c>
      <x:c r="O238" s="66" t="n">
        <x:v>0.0329295008049922</x:v>
      </x:c>
      <x:c r="P238" s="66" t="n">
        <x:v>0.0533677160852087</x:v>
      </x:c>
      <x:c r="Q238" s="66" t="n">
        <x:v>8.86612669542391e-9</x:v>
      </x:c>
      <x:c r="R238" s="66" t="str">
        <x:v>C:\Users\admin\.codex\.chatgpt-projects\g-p-6910508be2a081919b9cb5881a96c92b\overnight_refinement_2026-08-27\reports\237_21k_Mp1p2_Ap4_Op0p00001_ise_report.json</x:v>
      </x:c>
    </x:row>
    <x:row r="239">
      <x:c r="A239" s="66" t="str">
        <x:v>238_21k_Mp1p2_Ap4_Op0p0001_ise</x:v>
      </x:c>
      <x:c r="B239" s="66" t="str">
        <x:v>21k</x:v>
      </x:c>
      <x:c r="C239" s="66" t="n">
        <x:v>1.2</x:v>
      </x:c>
      <x:c r="D239" s="66" t="n">
        <x:v>4</x:v>
      </x:c>
      <x:c r="E239" s="66" t="n">
        <x:v>0.0001</x:v>
      </x:c>
      <x:c r="F239" s="66" t="str">
        <x:v>isentropic</x:v>
      </x:c>
      <x:c r="G239" s="66" t="str">
        <x:v>FQRUP</x:v>
      </x:c>
      <x:c r="H239" s="66" t="str">
        <x:v>OK</x:v>
      </x:c>
      <x:c r="I239" s="66" t="n">
        <x:v>1</x:v>
      </x:c>
      <x:c r="J239" s="66" t="n">
        <x:v>0</x:v>
      </x:c>
      <x:c r="K239" s="66" t="n">
        <x:v>102.235</x:v>
      </x:c>
      <x:c r="L239" s="66" t="n">
        <x:v>0.0291145474518128</x:v>
      </x:c>
      <x:c r="M239" s="66" t="n">
        <x:v>0.0083296629859426</x:v>
      </x:c>
      <x:c r="N239" s="66" t="n">
        <x:v>0.0555457861338871</x:v>
      </x:c>
      <x:c r="O239" s="66" t="n">
        <x:v>0.0329183040495575</x:v>
      </x:c>
      <x:c r="P239" s="66" t="n">
        <x:v>0.0533795512256919</x:v>
      </x:c>
      <x:c r="Q239" s="66" t="n">
        <x:v>8.84919455152282e-8</x:v>
      </x:c>
      <x:c r="R239" s="66" t="str">
        <x:v>C:\Users\admin\.codex\.chatgpt-projects\g-p-6910508be2a081919b9cb5881a96c92b\overnight_refinement_2026-08-27\reports\238_21k_Mp1p2_Ap4_Op0p0001_ise_report.json</x:v>
      </x:c>
    </x:row>
    <x:row r="240">
      <x:c r="A240" s="66" t="str">
        <x:v>239_21k_Mp1p25_Am4_Op0p00001_ise</x:v>
      </x:c>
      <x:c r="B240" s="66" t="str">
        <x:v>21k</x:v>
      </x:c>
      <x:c r="C240" s="66" t="n">
        <x:v>1.25</x:v>
      </x:c>
      <x:c r="D240" s="66" t="n">
        <x:v>-4</x:v>
      </x:c>
      <x:c r="E240" s="66" t="n">
        <x:v>0.00001</x:v>
      </x:c>
      <x:c r="F240" s="66" t="str">
        <x:v>isentropic</x:v>
      </x:c>
      <x:c r="G240" s="66" t="str">
        <x:v>FQRUP</x:v>
      </x:c>
      <x:c r="H240" s="66" t="str">
        <x:v>OK</x:v>
      </x:c>
      <x:c r="I240" s="66" t="n">
        <x:v>1</x:v>
      </x:c>
      <x:c r="J240" s="66" t="n">
        <x:v>0</x:v>
      </x:c>
      <x:c r="K240" s="66" t="n">
        <x:v>91.484</x:v>
      </x:c>
      <x:c r="L240" s="66" t="n">
        <x:v>0.0288439106328375</x:v>
      </x:c>
      <x:c r="M240" s="66" t="n">
        <x:v>-0.00849815411540896</x:v>
      </x:c>
      <x:c r="N240" s="66" t="n">
        <x:v>-0.0259993120079963</x:v>
      </x:c>
      <x:c r="O240" s="66" t="n">
        <x:v>0.0305872686416769</x:v>
      </x:c>
      <x:c r="P240" s="66" t="n">
        <x:v>-0.0239239294959282</x:v>
      </x:c>
      <x:c r="Q240" s="66" t="n">
        <x:v>8.89622250291031e-9</x:v>
      </x:c>
      <x:c r="R240" s="66" t="str">
        <x:v>C:\Users\admin\.codex\.chatgpt-projects\g-p-6910508be2a081919b9cb5881a96c92b\overnight_refinement_2026-08-27\reports\239_21k_Mp1p25_Am4_Op0p00001_ise_report.json</x:v>
      </x:c>
    </x:row>
    <x:row r="241">
      <x:c r="A241" s="66" t="str">
        <x:v>240_21k_Mp1p25_Am4_Op0p0001_ise</x:v>
      </x:c>
      <x:c r="B241" s="66" t="str">
        <x:v>21k</x:v>
      </x:c>
      <x:c r="C241" s="66" t="n">
        <x:v>1.25</x:v>
      </x:c>
      <x:c r="D241" s="66" t="n">
        <x:v>-4</x:v>
      </x:c>
      <x:c r="E241" s="66" t="n">
        <x:v>0.0001</x:v>
      </x:c>
      <x:c r="F241" s="66" t="str">
        <x:v>isentropic</x:v>
      </x:c>
      <x:c r="G241" s="66" t="str">
        <x:v>FQRUP</x:v>
      </x:c>
      <x:c r="H241" s="66" t="str">
        <x:v>OK</x:v>
      </x:c>
      <x:c r="I241" s="66" t="n">
        <x:v>1</x:v>
      </x:c>
      <x:c r="J241" s="66" t="n">
        <x:v>0</x:v>
      </x:c>
      <x:c r="K241" s="66" t="n">
        <x:v>90.344</x:v>
      </x:c>
      <x:c r="L241" s="66" t="n">
        <x:v>0.028843804359264</x:v>
      </x:c>
      <x:c r="M241" s="66" t="n">
        <x:v>-0.00850069769187036</x:v>
      </x:c>
      <x:c r="N241" s="66" t="n">
        <x:v>-0.0260095310870367</x:v>
      </x:c>
      <x:c r="O241" s="66" t="n">
        <x:v>0.0305878754738993</x:v>
      </x:c>
      <x:c r="P241" s="66" t="n">
        <x:v>-0.0239341310950755</x:v>
      </x:c>
      <x:c r="Q241" s="66" t="n">
        <x:v>8.89966911464411e-8</x:v>
      </x:c>
      <x:c r="R241" s="66" t="str">
        <x:v>C:\Users\admin\.codex\.chatgpt-projects\g-p-6910508be2a081919b9cb5881a96c92b\overnight_refinement_2026-08-27\reports\240_21k_Mp1p25_Am4_Op0p0001_ise_report.json</x:v>
      </x:c>
    </x:row>
    <x:row r="242">
      <x:c r="A242" s="66" t="str">
        <x:v>241_21k_Mp1p25_Am3_Op0p00001_ise</x:v>
      </x:c>
      <x:c r="B242" s="66" t="str">
        <x:v>21k</x:v>
      </x:c>
      <x:c r="C242" s="66" t="n">
        <x:v>1.25</x:v>
      </x:c>
      <x:c r="D242" s="66" t="n">
        <x:v>-3</x:v>
      </x:c>
      <x:c r="E242" s="66" t="n">
        <x:v>0.00001</x:v>
      </x:c>
      <x:c r="F242" s="66" t="str">
        <x:v>isentropic</x:v>
      </x:c>
      <x:c r="G242" s="66" t="str">
        <x:v>FQRUP</x:v>
      </x:c>
      <x:c r="H242" s="66" t="str">
        <x:v>OK</x:v>
      </x:c>
      <x:c r="I242" s="66" t="n">
        <x:v>1</x:v>
      </x:c>
      <x:c r="J242" s="66" t="n">
        <x:v>0</x:v>
      </x:c>
      <x:c r="K242" s="66" t="n">
        <x:v>89.437</x:v>
      </x:c>
      <x:c r="L242" s="66" t="n">
        <x:v>0.031857134914569</x:v>
      </x:c>
      <x:c r="M242" s="66" t="n">
        <x:v>-0.00463413911288504</x:v>
      </x:c>
      <x:c r="N242" s="66" t="n">
        <x:v>-0.00206365725816479</x:v>
      </x:c>
      <x:c r="O242" s="66" t="n">
        <x:v>0.0319214792943135</x:v>
      </x:c>
      <x:c r="P242" s="66" t="n">
        <x:v>-0.000393555468699562</x:v>
      </x:c>
      <x:c r="Q242" s="66" t="n">
        <x:v>8.81571799526905e-9</x:v>
      </x:c>
      <x:c r="R242" s="66" t="str">
        <x:v>C:\Users\admin\.codex\.chatgpt-projects\g-p-6910508be2a081919b9cb5881a96c92b\overnight_refinement_2026-08-27\reports\241_21k_Mp1p25_Am3_Op0p00001_ise_report.json</x:v>
      </x:c>
    </x:row>
    <x:row r="243">
      <x:c r="A243" s="66" t="str">
        <x:v>242_21k_Mp1p25_Am3_Op0p0001_ise</x:v>
      </x:c>
      <x:c r="B243" s="66" t="str">
        <x:v>21k</x:v>
      </x:c>
      <x:c r="C243" s="66" t="n">
        <x:v>1.25</x:v>
      </x:c>
      <x:c r="D243" s="66" t="n">
        <x:v>-3</x:v>
      </x:c>
      <x:c r="E243" s="66" t="n">
        <x:v>0.0001</x:v>
      </x:c>
      <x:c r="F243" s="66" t="str">
        <x:v>isentropic</x:v>
      </x:c>
      <x:c r="G243" s="66" t="str">
        <x:v>FQRUP</x:v>
      </x:c>
      <x:c r="H243" s="66" t="str">
        <x:v>OK</x:v>
      </x:c>
      <x:c r="I243" s="66" t="n">
        <x:v>1</x:v>
      </x:c>
      <x:c r="J243" s="66" t="n">
        <x:v>0</x:v>
      </x:c>
      <x:c r="K243" s="66" t="n">
        <x:v>90.219</x:v>
      </x:c>
      <x:c r="L243" s="66" t="n">
        <x:v>0.0318569769301265</x:v>
      </x:c>
      <x:c r="M243" s="66" t="n">
        <x:v>-0.00463215109464335</x:v>
      </x:c>
      <x:c r="N243" s="66" t="n">
        <x:v>-0.00206874060958821</x:v>
      </x:c>
      <x:c r="O243" s="66" t="n">
        <x:v>0.0319215875684408</x:v>
      </x:c>
      <x:c r="P243" s="66" t="n">
        <x:v>-0.000398640121833396</x:v>
      </x:c>
      <x:c r="Q243" s="66" t="n">
        <x:v>8.82260027614379e-8</x:v>
      </x:c>
      <x:c r="R243" s="66" t="str">
        <x:v>C:\Users\admin\.codex\.chatgpt-projects\g-p-6910508be2a081919b9cb5881a96c92b\overnight_refinement_2026-08-27\reports\242_21k_Mp1p25_Am3_Op0p0001_ise_report.json</x:v>
      </x:c>
    </x:row>
    <x:row r="244">
      <x:c r="A244" s="66" t="str">
        <x:v>243_21k_Mp1p25_Am2_Op0p00001_ise</x:v>
      </x:c>
      <x:c r="B244" s="66" t="str">
        <x:v>21k</x:v>
      </x:c>
      <x:c r="C244" s="66" t="n">
        <x:v>1.25</x:v>
      </x:c>
      <x:c r="D244" s="66" t="n">
        <x:v>-2</x:v>
      </x:c>
      <x:c r="E244" s="66" t="n">
        <x:v>0.00001</x:v>
      </x:c>
      <x:c r="F244" s="66" t="str">
        <x:v>isentropic</x:v>
      </x:c>
      <x:c r="G244" s="66" t="str">
        <x:v>FQRUP</x:v>
      </x:c>
      <x:c r="H244" s="66" t="str">
        <x:v>OK</x:v>
      </x:c>
      <x:c r="I244" s="66" t="n">
        <x:v>1</x:v>
      </x:c>
      <x:c r="J244" s="66" t="n">
        <x:v>0</x:v>
      </x:c>
      <x:c r="K244" s="66" t="n">
        <x:v>89.312</x:v>
      </x:c>
      <x:c r="L244" s="66" t="n">
        <x:v>0.0343012889181014</x:v>
      </x:c>
      <x:c r="M244" s="66" t="n">
        <x:v>-0.00112239268206253</x:v>
      </x:c>
      <x:c r="N244" s="66" t="n">
        <x:v>0.00440445421625948</x:v>
      </x:c>
      <x:c r="O244" s="66" t="n">
        <x:v>0.0341266802642856</x:v>
      </x:c>
      <x:c r="P244" s="66" t="n">
        <x:v>0.00559886886124412</x:v>
      </x:c>
      <x:c r="Q244" s="66" t="n">
        <x:v>8.84356149917652e-9</x:v>
      </x:c>
      <x:c r="R244" s="66" t="str">
        <x:v>C:\Users\admin\.codex\.chatgpt-projects\g-p-6910508be2a081919b9cb5881a96c92b\overnight_refinement_2026-08-27\reports\243_21k_Mp1p25_Am2_Op0p00001_ise_report.json</x:v>
      </x:c>
    </x:row>
    <x:row r="245">
      <x:c r="A245" s="66" t="str">
        <x:v>244_21k_Mp1p25_Am2_Op0p0001_ise</x:v>
      </x:c>
      <x:c r="B245" s="66" t="str">
        <x:v>21k</x:v>
      </x:c>
      <x:c r="C245" s="66" t="n">
        <x:v>1.25</x:v>
      </x:c>
      <x:c r="D245" s="66" t="n">
        <x:v>-2</x:v>
      </x:c>
      <x:c r="E245" s="66" t="n">
        <x:v>0.0001</x:v>
      </x:c>
      <x:c r="F245" s="66" t="str">
        <x:v>isentropic</x:v>
      </x:c>
      <x:c r="G245" s="66" t="str">
        <x:v>FQRUP</x:v>
      </x:c>
      <x:c r="H245" s="66" t="str">
        <x:v>OK</x:v>
      </x:c>
      <x:c r="I245" s="66" t="n">
        <x:v>1</x:v>
      </x:c>
      <x:c r="J245" s="66" t="n">
        <x:v>0</x:v>
      </x:c>
      <x:c r="K245" s="66" t="n">
        <x:v>90.141</x:v>
      </x:c>
      <x:c r="L245" s="66" t="n">
        <x:v>0.0343028412468</x:v>
      </x:c>
      <x:c r="M245" s="66" t="n">
        <x:v>-0.00112168598121582</x:v>
      </x:c>
      <x:c r="N245" s="66" t="n">
        <x:v>0.00440059705272133</x:v>
      </x:c>
      <x:c r="O245" s="66" t="n">
        <x:v>0.0341283662604137</x:v>
      </x:c>
      <x:c r="P245" s="66" t="n">
        <x:v>0.00559506822287608</x:v>
      </x:c>
      <x:c r="Q245" s="66" t="n">
        <x:v>8.84371044895998e-8</x:v>
      </x:c>
      <x:c r="R245" s="66" t="str">
        <x:v>C:\Users\admin\.codex\.chatgpt-projects\g-p-6910508be2a081919b9cb5881a96c92b\overnight_refinement_2026-08-27\reports\244_21k_Mp1p25_Am2_Op0p0001_ise_report.json</x:v>
      </x:c>
    </x:row>
    <x:row r="246">
      <x:c r="A246" s="66" t="str">
        <x:v>245_21k_Mp1p25_Am1_Op0p00001_ise</x:v>
      </x:c>
      <x:c r="B246" s="66" t="str">
        <x:v>21k</x:v>
      </x:c>
      <x:c r="C246" s="66" t="n">
        <x:v>1.25</x:v>
      </x:c>
      <x:c r="D246" s="66" t="n">
        <x:v>-1</x:v>
      </x:c>
      <x:c r="E246" s="66" t="n">
        <x:v>0.00001</x:v>
      </x:c>
      <x:c r="F246" s="66" t="str">
        <x:v>isentropic</x:v>
      </x:c>
      <x:c r="G246" s="66" t="str">
        <x:v>FQRUP</x:v>
      </x:c>
      <x:c r="H246" s="66" t="str">
        <x:v>OK</x:v>
      </x:c>
      <x:c r="I246" s="66" t="n">
        <x:v>1</x:v>
      </x:c>
      <x:c r="J246" s="66" t="n">
        <x:v>0</x:v>
      </x:c>
      <x:c r="K246" s="66" t="n">
        <x:v>89.391</x:v>
      </x:c>
      <x:c r="L246" s="66" t="n">
        <x:v>0.0357715421481233</x:v>
      </x:c>
      <x:c r="M246" s="66" t="n">
        <x:v>-0.000123641999579209</x:v>
      </x:c>
      <x:c r="N246" s="66" t="n">
        <x:v>0.00153925631447606</x:v>
      </x:c>
      <x:c r="O246" s="66" t="n">
        <x:v>0.0357392302421794</x:v>
      </x:c>
      <x:c r="P246" s="66" t="n">
        <x:v>0.00216332137074128</x:v>
      </x:c>
      <x:c r="Q246" s="66" t="n">
        <x:v>8.77946937536182e-9</x:v>
      </x:c>
      <x:c r="R246" s="66" t="str">
        <x:v>C:\Users\admin\.codex\.chatgpt-projects\g-p-6910508be2a081919b9cb5881a96c92b\overnight_refinement_2026-08-27\reports\245_21k_Mp1p25_Am1_Op0p00001_ise_report.json</x:v>
      </x:c>
    </x:row>
    <x:row r="247">
      <x:c r="A247" s="66" t="str">
        <x:v>246_21k_Mp1p25_Am1_Op0p0001_ise</x:v>
      </x:c>
      <x:c r="B247" s="66" t="str">
        <x:v>21k</x:v>
      </x:c>
      <x:c r="C247" s="66" t="n">
        <x:v>1.25</x:v>
      </x:c>
      <x:c r="D247" s="66" t="n">
        <x:v>-1</x:v>
      </x:c>
      <x:c r="E247" s="66" t="n">
        <x:v>0.0001</x:v>
      </x:c>
      <x:c r="F247" s="66" t="str">
        <x:v>isentropic</x:v>
      </x:c>
      <x:c r="G247" s="66" t="str">
        <x:v>FQRUP</x:v>
      </x:c>
      <x:c r="H247" s="66" t="str">
        <x:v>OK</x:v>
      </x:c>
      <x:c r="I247" s="66" t="n">
        <x:v>1</x:v>
      </x:c>
      <x:c r="J247" s="66" t="n">
        <x:v>0</x:v>
      </x:c>
      <x:c r="K247" s="66" t="n">
        <x:v>89.875</x:v>
      </x:c>
      <x:c r="L247" s="66" t="n">
        <x:v>0.0357721703320693</x:v>
      </x:c>
      <x:c r="M247" s="66" t="n">
        <x:v>-0.000122153059972344</x:v>
      </x:c>
      <x:c r="N247" s="66" t="n">
        <x:v>0.00154770561281568</x:v>
      </x:c>
      <x:c r="O247" s="66" t="n">
        <x:v>0.0357397108698612</x:v>
      </x:c>
      <x:c r="P247" s="66" t="n">
        <x:v>0.00217178034553338</x:v>
      </x:c>
      <x:c r="Q247" s="66" t="n">
        <x:v>8.77937197074492e-8</x:v>
      </x:c>
      <x:c r="R247" s="66" t="str">
        <x:v>C:\Users\admin\.codex\.chatgpt-projects\g-p-6910508be2a081919b9cb5881a96c92b\overnight_refinement_2026-08-27\reports\246_21k_Mp1p25_Am1_Op0p0001_ise_report.json</x:v>
      </x:c>
    </x:row>
    <x:row r="248">
      <x:c r="A248" s="66" t="str">
        <x:v>247_21k_Mp1p25_Ap0_Op0p00001_ise</x:v>
      </x:c>
      <x:c r="B248" s="66" t="str">
        <x:v>21k</x:v>
      </x:c>
      <x:c r="C248" s="66" t="n">
        <x:v>1.25</x:v>
      </x:c>
      <x:c r="D248" s="66" t="n">
        <x:v>0</x:v>
      </x:c>
      <x:c r="E248" s="66" t="n">
        <x:v>0.00001</x:v>
      </x:c>
      <x:c r="F248" s="66" t="str">
        <x:v>isentropic</x:v>
      </x:c>
      <x:c r="G248" s="66" t="str">
        <x:v>FQRUP</x:v>
      </x:c>
      <x:c r="H248" s="66" t="str">
        <x:v>OK</x:v>
      </x:c>
      <x:c r="I248" s="66" t="n">
        <x:v>1</x:v>
      </x:c>
      <x:c r="J248" s="66" t="n">
        <x:v>0</x:v>
      </x:c>
      <x:c r="K248" s="66" t="n">
        <x:v>89.579</x:v>
      </x:c>
      <x:c r="L248" s="66" t="n">
        <x:v>0.0364041818938136</x:v>
      </x:c>
      <x:c r="M248" s="66" t="n">
        <x:v>-0.000374985134405557</x:v>
      </x:c>
      <x:c r="N248" s="66" t="n">
        <x:v>-0.0046852490266089</x:v>
      </x:c>
      <x:c r="O248" s="66" t="n">
        <x:v>0.0364041818938136</x:v>
      </x:c>
      <x:c r="P248" s="66" t="n">
        <x:v>-0.0046852490266089</x:v>
      </x:c>
      <x:c r="Q248" s="66" t="n">
        <x:v>9.11739502914978e-9</x:v>
      </x:c>
      <x:c r="R248" s="66" t="str">
        <x:v>C:\Users\admin\.codex\.chatgpt-projects\g-p-6910508be2a081919b9cb5881a96c92b\overnight_refinement_2026-08-27\reports\247_21k_Mp1p25_Ap0_Op0p00001_ise_report.json</x:v>
      </x:c>
    </x:row>
    <x:row r="249">
      <x:c r="A249" s="66" t="str">
        <x:v>248_21k_Mp1p25_Ap0_Op0p0001_ise</x:v>
      </x:c>
      <x:c r="B249" s="66" t="str">
        <x:v>21k</x:v>
      </x:c>
      <x:c r="C249" s="66" t="n">
        <x:v>1.25</x:v>
      </x:c>
      <x:c r="D249" s="66" t="n">
        <x:v>0</x:v>
      </x:c>
      <x:c r="E249" s="66" t="n">
        <x:v>0.0001</x:v>
      </x:c>
      <x:c r="F249" s="66" t="str">
        <x:v>isentropic</x:v>
      </x:c>
      <x:c r="G249" s="66" t="str">
        <x:v>FQRUP</x:v>
      </x:c>
      <x:c r="H249" s="66" t="str">
        <x:v>OK</x:v>
      </x:c>
      <x:c r="I249" s="66" t="n">
        <x:v>1</x:v>
      </x:c>
      <x:c r="J249" s="66" t="n">
        <x:v>0</x:v>
      </x:c>
      <x:c r="K249" s="66" t="n">
        <x:v>90.016</x:v>
      </x:c>
      <x:c r="L249" s="66" t="n">
        <x:v>0.0364048573575923</x:v>
      </x:c>
      <x:c r="M249" s="66" t="n">
        <x:v>-0.000374370768656282</x:v>
      </x:c>
      <x:c r="N249" s="66" t="n">
        <x:v>-0.00466880648120928</x:v>
      </x:c>
      <x:c r="O249" s="66" t="n">
        <x:v>0.0364048573575923</x:v>
      </x:c>
      <x:c r="P249" s="66" t="n">
        <x:v>-0.00466880648120928</x:v>
      </x:c>
      <x:c r="Q249" s="66" t="n">
        <x:v>9.10918647797825e-8</x:v>
      </x:c>
      <x:c r="R249" s="66" t="str">
        <x:v>C:\Users\admin\.codex\.chatgpt-projects\g-p-6910508be2a081919b9cb5881a96c92b\overnight_refinement_2026-08-27\reports\248_21k_Mp1p25_Ap0_Op0p0001_ise_report.json</x:v>
      </x:c>
    </x:row>
    <x:row r="250">
      <x:c r="A250" s="66" t="str">
        <x:v>249_21k_Mp1p25_Ap1_Op0p00001_ise</x:v>
      </x:c>
      <x:c r="B250" s="66" t="str">
        <x:v>21k</x:v>
      </x:c>
      <x:c r="C250" s="66" t="n">
        <x:v>1.25</x:v>
      </x:c>
      <x:c r="D250" s="66" t="n">
        <x:v>1</x:v>
      </x:c>
      <x:c r="E250" s="66" t="n">
        <x:v>0.00001</x:v>
      </x:c>
      <x:c r="F250" s="66" t="str">
        <x:v>isentropic</x:v>
      </x:c>
      <x:c r="G250" s="66" t="str">
        <x:v>FQRUP</x:v>
      </x:c>
      <x:c r="H250" s="66" t="str">
        <x:v>OK</x:v>
      </x:c>
      <x:c r="I250" s="66" t="n">
        <x:v>1</x:v>
      </x:c>
      <x:c r="J250" s="66" t="n">
        <x:v>0</x:v>
      </x:c>
      <x:c r="K250" s="66" t="n">
        <x:v>89.156</x:v>
      </x:c>
      <x:c r="L250" s="66" t="n">
        <x:v>0.0356020659127206</x:v>
      </x:c>
      <x:c r="M250" s="66" t="n">
        <x:v>0.0000462658837272646</x:v>
      </x:c>
      <x:c r="N250" s="66" t="n">
        <x:v>-0.0112767329615243</x:v>
      </x:c>
      <x:c r="O250" s="66" t="n">
        <x:v>0.0353998374187104</x:v>
      </x:c>
      <x:c r="P250" s="66" t="n">
        <x:v>-0.0118963571847899</x:v>
      </x:c>
      <x:c r="Q250" s="66" t="n">
        <x:v>9.32311996363543e-9</x:v>
      </x:c>
      <x:c r="R250" s="66" t="str">
        <x:v>C:\Users\admin\.codex\.chatgpt-projects\g-p-6910508be2a081919b9cb5881a96c92b\overnight_refinement_2026-08-27\reports\249_21k_Mp1p25_Ap1_Op0p00001_ise_report.json</x:v>
      </x:c>
    </x:row>
    <x:row r="251">
      <x:c r="A251" s="66" t="str">
        <x:v>250_21k_Mp1p25_Ap1_Op0p0001_ise</x:v>
      </x:c>
      <x:c r="B251" s="66" t="str">
        <x:v>21k</x:v>
      </x:c>
      <x:c r="C251" s="66" t="n">
        <x:v>1.25</x:v>
      </x:c>
      <x:c r="D251" s="66" t="n">
        <x:v>1</x:v>
      </x:c>
      <x:c r="E251" s="66" t="n">
        <x:v>0.0001</x:v>
      </x:c>
      <x:c r="F251" s="66" t="str">
        <x:v>isentropic</x:v>
      </x:c>
      <x:c r="G251" s="66" t="str">
        <x:v>FQRUP</x:v>
      </x:c>
      <x:c r="H251" s="66" t="str">
        <x:v>OK</x:v>
      </x:c>
      <x:c r="I251" s="66" t="n">
        <x:v>1</x:v>
      </x:c>
      <x:c r="J251" s="66" t="n">
        <x:v>0</x:v>
      </x:c>
      <x:c r="K251" s="66" t="n">
        <x:v>89.75</x:v>
      </x:c>
      <x:c r="L251" s="66" t="n">
        <x:v>0.0356003468150677</x:v>
      </x:c>
      <x:c r="M251" s="66" t="n">
        <x:v>0.0000485381363035361</x:v>
      </x:c>
      <x:c r="N251" s="66" t="n">
        <x:v>-0.011252022114776</x:v>
      </x:c>
      <x:c r="O251" s="66" t="n">
        <x:v>0.0353985498466252</x:v>
      </x:c>
      <x:c r="P251" s="66" t="n">
        <x:v>-0.0118716200992323</x:v>
      </x:c>
      <x:c r="Q251" s="66" t="n">
        <x:v>9.31202963310661e-8</x:v>
      </x:c>
      <x:c r="R251" s="66" t="str">
        <x:v>C:\Users\admin\.codex\.chatgpt-projects\g-p-6910508be2a081919b9cb5881a96c92b\overnight_refinement_2026-08-27\reports\250_21k_Mp1p25_Ap1_Op0p0001_ise_report.json</x:v>
      </x:c>
    </x:row>
    <x:row r="252">
      <x:c r="A252" s="66" t="str">
        <x:v>251_21k_Mp1p25_Ap2_Op0p00001_ise</x:v>
      </x:c>
      <x:c r="B252" s="66" t="str">
        <x:v>21k</x:v>
      </x:c>
      <x:c r="C252" s="66" t="n">
        <x:v>1.25</x:v>
      </x:c>
      <x:c r="D252" s="66" t="n">
        <x:v>2</x:v>
      </x:c>
      <x:c r="E252" s="66" t="n">
        <x:v>0.00001</x:v>
      </x:c>
      <x:c r="F252" s="66" t="str">
        <x:v>isentropic</x:v>
      </x:c>
      <x:c r="G252" s="66" t="str">
        <x:v>FQRUP</x:v>
      </x:c>
      <x:c r="H252" s="66" t="str">
        <x:v>OK</x:v>
      </x:c>
      <x:c r="I252" s="66" t="n">
        <x:v>1</x:v>
      </x:c>
      <x:c r="J252" s="66" t="n">
        <x:v>0</x:v>
      </x:c>
      <x:c r="K252" s="66" t="n">
        <x:v>89.187</x:v>
      </x:c>
      <x:c r="L252" s="66" t="n">
        <x:v>0.0334108765246302</x:v>
      </x:c>
      <x:c r="M252" s="66" t="n">
        <x:v>0.00222819770972526</x:v>
      </x:c>
      <x:c r="N252" s="66" t="n">
        <x:v>-0.00577225912187674</x:v>
      </x:c>
      <x:c r="O252" s="66" t="n">
        <x:v>0.0331890745831931</x:v>
      </x:c>
      <x:c r="P252" s="66" t="n">
        <x:v>-0.00693476559267991</x:v>
      </x:c>
      <x:c r="Q252" s="66" t="n">
        <x:v>9.70469228291989e-9</x:v>
      </x:c>
      <x:c r="R252" s="66" t="str">
        <x:v>C:\Users\admin\.codex\.chatgpt-projects\g-p-6910508be2a081919b9cb5881a96c92b\overnight_refinement_2026-08-27\reports\251_21k_Mp1p25_Ap2_Op0p00001_ise_report.json</x:v>
      </x:c>
    </x:row>
    <x:row r="253">
      <x:c r="A253" s="66" t="str">
        <x:v>252_21k_Mp1p25_Ap2_Op0p0001_ise</x:v>
      </x:c>
      <x:c r="B253" s="66" t="str">
        <x:v>21k</x:v>
      </x:c>
      <x:c r="C253" s="66" t="n">
        <x:v>1.25</x:v>
      </x:c>
      <x:c r="D253" s="66" t="n">
        <x:v>2</x:v>
      </x:c>
      <x:c r="E253" s="66" t="n">
        <x:v>0.0001</x:v>
      </x:c>
      <x:c r="F253" s="66" t="str">
        <x:v>isentropic</x:v>
      </x:c>
      <x:c r="G253" s="66" t="str">
        <x:v>FQRUP</x:v>
      </x:c>
      <x:c r="H253" s="66" t="str">
        <x:v>OK</x:v>
      </x:c>
      <x:c r="I253" s="66" t="n">
        <x:v>1</x:v>
      </x:c>
      <x:c r="J253" s="66" t="n">
        <x:v>0</x:v>
      </x:c>
      <x:c r="K253" s="66" t="n">
        <x:v>89.703</x:v>
      </x:c>
      <x:c r="L253" s="66" t="n">
        <x:v>0.0334066457390146</x:v>
      </x:c>
      <x:c r="M253" s="66" t="n">
        <x:v>0.00223277635323801</x:v>
      </x:c>
      <x:c r="N253" s="66" t="n">
        <x:v>-0.0057435733629423</x:v>
      </x:c>
      <x:c r="O253" s="66" t="n">
        <x:v>0.0331858474934072</x:v>
      </x:c>
      <x:c r="P253" s="66" t="n">
        <x:v>-0.00690594965604611</x:v>
      </x:c>
      <x:c r="Q253" s="66" t="n">
        <x:v>9.68767035624854e-8</x:v>
      </x:c>
      <x:c r="R253" s="66" t="str">
        <x:v>C:\Users\admin\.codex\.chatgpt-projects\g-p-6910508be2a081919b9cb5881a96c92b\overnight_refinement_2026-08-27\reports\252_21k_Mp1p25_Ap2_Op0p0001_ise_report.json</x:v>
      </x:c>
    </x:row>
    <x:row r="254">
      <x:c r="A254" s="66" t="str">
        <x:v>253_21k_Mp1p25_Ap3_Op0p00001_ise</x:v>
      </x:c>
      <x:c r="B254" s="66" t="str">
        <x:v>21k</x:v>
      </x:c>
      <x:c r="C254" s="66" t="n">
        <x:v>1.25</x:v>
      </x:c>
      <x:c r="D254" s="66" t="n">
        <x:v>3</x:v>
      </x:c>
      <x:c r="E254" s="66" t="n">
        <x:v>0.00001</x:v>
      </x:c>
      <x:c r="F254" s="66" t="str">
        <x:v>isentropic</x:v>
      </x:c>
      <x:c r="G254" s="66" t="str">
        <x:v>FQRUP</x:v>
      </x:c>
      <x:c r="H254" s="66" t="str">
        <x:v>OK</x:v>
      </x:c>
      <x:c r="I254" s="66" t="n">
        <x:v>1</x:v>
      </x:c>
      <x:c r="J254" s="66" t="n">
        <x:v>0</x:v>
      </x:c>
      <x:c r="K254" s="66" t="n">
        <x:v>89.312</x:v>
      </x:c>
      <x:c r="L254" s="66" t="n">
        <x:v>0.0298505109447863</x:v>
      </x:c>
      <x:c r="M254" s="66" t="n">
        <x:v>0.00666494125437604</x:v>
      </x:c>
      <x:c r="N254" s="66" t="n">
        <x:v>0.0200830671188259</x:v>
      </x:c>
      <x:c r="O254" s="66" t="n">
        <x:v>0.0308606683789332</x:v>
      </x:c>
      <x:c r="P254" s="66" t="n">
        <x:v>0.0184932889386821</x:v>
      </x:c>
      <x:c r="Q254" s="66" t="n">
        <x:v>1.00339971898051e-8</x:v>
      </x:c>
      <x:c r="R254" s="66" t="str">
        <x:v>C:\Users\admin\.codex\.chatgpt-projects\g-p-6910508be2a081919b9cb5881a96c92b\overnight_refinement_2026-08-27\reports\253_21k_Mp1p25_Ap3_Op0p00001_ise_report.json</x:v>
      </x:c>
    </x:row>
    <x:row r="255">
      <x:c r="A255" s="66" t="str">
        <x:v>254_21k_Mp1p25_Ap3_Op0p0001_ise</x:v>
      </x:c>
      <x:c r="B255" s="66" t="str">
        <x:v>21k</x:v>
      </x:c>
      <x:c r="C255" s="66" t="n">
        <x:v>1.25</x:v>
      </x:c>
      <x:c r="D255" s="66" t="n">
        <x:v>3</x:v>
      </x:c>
      <x:c r="E255" s="66" t="n">
        <x:v>0.0001</x:v>
      </x:c>
      <x:c r="F255" s="66" t="str">
        <x:v>isentropic</x:v>
      </x:c>
      <x:c r="G255" s="66" t="str">
        <x:v>FQRUP</x:v>
      </x:c>
      <x:c r="H255" s="66" t="str">
        <x:v>OK</x:v>
      </x:c>
      <x:c r="I255" s="66" t="n">
        <x:v>1</x:v>
      </x:c>
      <x:c r="J255" s="66" t="n">
        <x:v>0</x:v>
      </x:c>
      <x:c r="K255" s="66" t="n">
        <x:v>91.265</x:v>
      </x:c>
      <x:c r="L255" s="66" t="n">
        <x:v>0.0298446449882278</x:v>
      </x:c>
      <x:c r="M255" s="66" t="n">
        <x:v>0.00667640009780476</x:v>
      </x:c>
      <x:c r="N255" s="66" t="n">
        <x:v>0.0201106984272399</x:v>
      </x:c>
      <x:c r="O255" s="66" t="n">
        <x:v>0.0308562565724124</x:v>
      </x:c>
      <x:c r="P255" s="66" t="n">
        <x:v>0.018521189379794</x:v>
      </x:c>
      <x:c r="Q255" s="66" t="n">
        <x:v>1.00116432731006e-7</x:v>
      </x:c>
      <x:c r="R255" s="66" t="str">
        <x:v>C:\Users\admin\.codex\.chatgpt-projects\g-p-6910508be2a081919b9cb5881a96c92b\overnight_refinement_2026-08-27\reports\254_21k_Mp1p25_Ap3_Op0p0001_ise_report.json</x:v>
      </x:c>
    </x:row>
    <x:row r="256">
      <x:c r="A256" s="66" t="str">
        <x:v>255_21k_Mp1p25_Ap4_Op0p00001_ise</x:v>
      </x:c>
      <x:c r="B256" s="66" t="str">
        <x:v>21k</x:v>
      </x:c>
      <x:c r="C256" s="66" t="n">
        <x:v>1.25</x:v>
      </x:c>
      <x:c r="D256" s="66" t="n">
        <x:v>4</x:v>
      </x:c>
      <x:c r="E256" s="66" t="n">
        <x:v>0.00001</x:v>
      </x:c>
      <x:c r="F256" s="66" t="str">
        <x:v>isentropic</x:v>
      </x:c>
      <x:c r="G256" s="66" t="str">
        <x:v>FQRUP</x:v>
      </x:c>
      <x:c r="H256" s="66" t="str">
        <x:v>OK</x:v>
      </x:c>
      <x:c r="I256" s="66" t="n">
        <x:v>1</x:v>
      </x:c>
      <x:c r="J256" s="66" t="n">
        <x:v>0</x:v>
      </x:c>
      <x:c r="K256" s="66" t="n">
        <x:v>89.172</x:v>
      </x:c>
      <x:c r="L256" s="66" t="n">
        <x:v>0.0253904630971413</x:v>
      </x:c>
      <x:c r="M256" s="66" t="n">
        <x:v>0.00933427491095846</x:v>
      </x:c>
      <x:c r="N256" s="66" t="n">
        <x:v>0.0636592021438813</x:v>
      </x:c>
      <x:c r="O256" s="66" t="n">
        <x:v>0.0297692546680785</x:v>
      </x:c>
      <x:c r="P256" s="66" t="n">
        <x:v>0.0617329823545722</x:v>
      </x:c>
      <x:c r="Q256" s="66" t="n">
        <x:v>1.00784529441664e-8</x:v>
      </x:c>
      <x:c r="R256" s="66" t="str">
        <x:v>C:\Users\admin\.codex\.chatgpt-projects\g-p-6910508be2a081919b9cb5881a96c92b\overnight_refinement_2026-08-27\reports\255_21k_Mp1p25_Ap4_Op0p00001_ise_report.json</x:v>
      </x:c>
    </x:row>
    <x:row r="257">
      <x:c r="A257" s="66" t="str">
        <x:v>256_21k_Mp1p25_Ap4_Op0p0001_ise</x:v>
      </x:c>
      <x:c r="B257" s="66" t="str">
        <x:v>21k</x:v>
      </x:c>
      <x:c r="C257" s="66" t="n">
        <x:v>1.25</x:v>
      </x:c>
      <x:c r="D257" s="66" t="n">
        <x:v>4</x:v>
      </x:c>
      <x:c r="E257" s="66" t="n">
        <x:v>0.0001</x:v>
      </x:c>
      <x:c r="F257" s="66" t="str">
        <x:v>isentropic</x:v>
      </x:c>
      <x:c r="G257" s="66" t="str">
        <x:v>FQRUP</x:v>
      </x:c>
      <x:c r="H257" s="66" t="str">
        <x:v>OK</x:v>
      </x:c>
      <x:c r="I257" s="66" t="n">
        <x:v>1</x:v>
      </x:c>
      <x:c r="J257" s="66" t="n">
        <x:v>0</x:v>
      </x:c>
      <x:c r="K257" s="66" t="n">
        <x:v>89.922</x:v>
      </x:c>
      <x:c r="L257" s="66" t="n">
        <x:v>0.025380065149417</x:v>
      </x:c>
      <x:c r="M257" s="66" t="n">
        <x:v>0.00934670866715312</x:v>
      </x:c>
      <x:c r="N257" s="66" t="n">
        <x:v>0.0636844864340512</x:v>
      </x:c>
      <x:c r="O257" s="66" t="n">
        <x:v>0.0297606457921556</x:v>
      </x:c>
      <x:c r="P257" s="66" t="n">
        <x:v>0.0617589303776494</x:v>
      </x:c>
      <x:c r="Q257" s="66" t="n">
        <x:v>1.00558802759128e-7</x:v>
      </x:c>
      <x:c r="R257" s="66" t="str">
        <x:v>C:\Users\admin\.codex\.chatgpt-projects\g-p-6910508be2a081919b9cb5881a96c92b\overnight_refinement_2026-08-27\reports\256_21k_Mp1p25_Ap4_Op0p0001_ise_report.json</x:v>
      </x:c>
    </x:row>
    <x:row r="258">
      <x:c r="A258" s="66" t="str">
        <x:v>257_21k_Mp1p3_Am4_Op0p00001_ise</x:v>
      </x:c>
      <x:c r="B258" s="66" t="str">
        <x:v>21k</x:v>
      </x:c>
      <x:c r="C258" s="66" t="n">
        <x:v>1.3</x:v>
      </x:c>
      <x:c r="D258" s="66" t="n">
        <x:v>-4</x:v>
      </x:c>
      <x:c r="E258" s="66" t="n">
        <x:v>0.00001</x:v>
      </x:c>
      <x:c r="F258" s="66" t="str">
        <x:v>isentropic</x:v>
      </x:c>
      <x:c r="G258" s="66" t="str">
        <x:v>FQRUP</x:v>
      </x:c>
      <x:c r="H258" s="66" t="str">
        <x:v>OK</x:v>
      </x:c>
      <x:c r="I258" s="66" t="n">
        <x:v>1</x:v>
      </x:c>
      <x:c r="J258" s="66" t="n">
        <x:v>0</x:v>
      </x:c>
      <x:c r="K258" s="66" t="n">
        <x:v>82.047</x:v>
      </x:c>
      <x:c r="L258" s="66" t="n">
        <x:v>0.0248147028553091</x:v>
      </x:c>
      <x:c r="M258" s="66" t="n">
        <x:v>-0.00258110089059962</x:v>
      </x:c>
      <x:c r="N258" s="66" t="n">
        <x:v>-0.0126007952554761</x:v>
      </x:c>
      <x:c r="O258" s="66" t="n">
        <x:v>0.0256332425297299</x:v>
      </x:c>
      <x:c r="P258" s="66" t="n">
        <x:v>-0.0108391141833529</x:v>
      </x:c>
      <x:c r="Q258" s="66" t="n">
        <x:v>9.02339609013717e-9</x:v>
      </x:c>
      <x:c r="R258" s="66" t="str">
        <x:v>C:\Users\admin\.codex\.chatgpt-projects\g-p-6910508be2a081919b9cb5881a96c92b\overnight_refinement_2026-08-27\reports\257_21k_Mp1p3_Am4_Op0p00001_ise_report.json</x:v>
      </x:c>
    </x:row>
    <x:row r="259">
      <x:c r="A259" s="66" t="str">
        <x:v>258_21k_Mp1p3_Am4_Op0p0001_ise</x:v>
      </x:c>
      <x:c r="B259" s="66" t="str">
        <x:v>21k</x:v>
      </x:c>
      <x:c r="C259" s="66" t="n">
        <x:v>1.3</x:v>
      </x:c>
      <x:c r="D259" s="66" t="n">
        <x:v>-4</x:v>
      </x:c>
      <x:c r="E259" s="66" t="n">
        <x:v>0.0001</x:v>
      </x:c>
      <x:c r="F259" s="66" t="str">
        <x:v>isentropic</x:v>
      </x:c>
      <x:c r="G259" s="66" t="str">
        <x:v>FQRUP</x:v>
      </x:c>
      <x:c r="H259" s="66" t="str">
        <x:v>OK</x:v>
      </x:c>
      <x:c r="I259" s="66" t="n">
        <x:v>1</x:v>
      </x:c>
      <x:c r="J259" s="66" t="n">
        <x:v>0</x:v>
      </x:c>
      <x:c r="K259" s="66" t="n">
        <x:v>82.672</x:v>
      </x:c>
      <x:c r="L259" s="66" t="n">
        <x:v>0.0248268840589901</x:v>
      </x:c>
      <x:c r="M259" s="66" t="n">
        <x:v>-0.00258010943872847</x:v>
      </x:c>
      <x:c r="N259" s="66" t="n">
        <x:v>-0.0126134261392653</x:v>
      </x:c>
      <x:c r="O259" s="66" t="n">
        <x:v>0.0256462751465244</x:v>
      </x:c>
      <x:c r="P259" s="66" t="n">
        <x:v>-0.0108508645811292</x:v>
      </x:c>
      <x:c r="Q259" s="66" t="n">
        <x:v>9.03582794423959e-8</x:v>
      </x:c>
      <x:c r="R259" s="66" t="str">
        <x:v>C:\Users\admin\.codex\.chatgpt-projects\g-p-6910508be2a081919b9cb5881a96c92b\overnight_refinement_2026-08-27\reports\258_21k_Mp1p3_Am4_Op0p0001_ise_report.json</x:v>
      </x:c>
    </x:row>
    <x:row r="260">
      <x:c r="A260" s="66" t="str">
        <x:v>259_21k_Mp1p3_Am3_Op0p00001_ise</x:v>
      </x:c>
      <x:c r="B260" s="66" t="str">
        <x:v>21k</x:v>
      </x:c>
      <x:c r="C260" s="66" t="n">
        <x:v>1.3</x:v>
      </x:c>
      <x:c r="D260" s="66" t="n">
        <x:v>-3</x:v>
      </x:c>
      <x:c r="E260" s="66" t="n">
        <x:v>0.00001</x:v>
      </x:c>
      <x:c r="F260" s="66" t="str">
        <x:v>isentropic</x:v>
      </x:c>
      <x:c r="G260" s="66" t="str">
        <x:v>FQRUP</x:v>
      </x:c>
      <x:c r="H260" s="66" t="str">
        <x:v>OK</x:v>
      </x:c>
      <x:c r="I260" s="66" t="n">
        <x:v>1</x:v>
      </x:c>
      <x:c r="J260" s="66" t="n">
        <x:v>0</x:v>
      </x:c>
      <x:c r="K260" s="66" t="n">
        <x:v>81.844</x:v>
      </x:c>
      <x:c r="L260" s="66" t="n">
        <x:v>0.0271461568753063</x:v>
      </x:c>
      <x:c r="M260" s="66" t="n">
        <x:v>-0.00200596057856908</x:v>
      </x:c>
      <x:c r="N260" s="66" t="n">
        <x:v>0.0027082608883482</x:v>
      </x:c>
      <x:c r="O260" s="66" t="n">
        <x:v>0.0269672145874147</x:v>
      </x:c>
      <x:c r="P260" s="66" t="n">
        <x:v>0.00412526938931529</x:v>
      </x:c>
      <x:c r="Q260" s="66" t="n">
        <x:v>8.83431297315579e-9</x:v>
      </x:c>
      <x:c r="R260" s="66" t="str">
        <x:v>C:\Users\admin\.codex\.chatgpt-projects\g-p-6910508be2a081919b9cb5881a96c92b\overnight_refinement_2026-08-27\reports\259_21k_Mp1p3_Am3_Op0p00001_ise_report.json</x:v>
      </x:c>
    </x:row>
    <x:row r="261">
      <x:c r="A261" s="66" t="str">
        <x:v>260_21k_Mp1p3_Am3_Op0p0001_ise</x:v>
      </x:c>
      <x:c r="B261" s="66" t="str">
        <x:v>21k</x:v>
      </x:c>
      <x:c r="C261" s="66" t="n">
        <x:v>1.3</x:v>
      </x:c>
      <x:c r="D261" s="66" t="n">
        <x:v>-3</x:v>
      </x:c>
      <x:c r="E261" s="66" t="n">
        <x:v>0.0001</x:v>
      </x:c>
      <x:c r="F261" s="66" t="str">
        <x:v>isentropic</x:v>
      </x:c>
      <x:c r="G261" s="66" t="str">
        <x:v>FQRUP</x:v>
      </x:c>
      <x:c r="H261" s="66" t="str">
        <x:v>OK</x:v>
      </x:c>
      <x:c r="I261" s="66" t="n">
        <x:v>1</x:v>
      </x:c>
      <x:c r="J261" s="66" t="n">
        <x:v>0</x:v>
      </x:c>
      <x:c r="K261" s="66" t="n">
        <x:v>82.313</x:v>
      </x:c>
      <x:c r="L261" s="66" t="n">
        <x:v>0.0271597541226778</x:v>
      </x:c>
      <x:c r="M261" s="66" t="n">
        <x:v>-0.00200549620591549</x:v>
      </x:c>
      <x:c r="N261" s="66" t="n">
        <x:v>0.00269950853601931</x:v>
      </x:c>
      <x:c r="O261" s="66" t="n">
        <x:v>0.0269812512629598</x:v>
      </x:c>
      <x:c r="P261" s="66" t="n">
        <x:v>0.00411724065672454</x:v>
      </x:c>
      <x:c r="Q261" s="66" t="n">
        <x:v>8.84791773133459e-8</x:v>
      </x:c>
      <x:c r="R261" s="66" t="str">
        <x:v>C:\Users\admin\.codex\.chatgpt-projects\g-p-6910508be2a081919b9cb5881a96c92b\overnight_refinement_2026-08-27\reports\260_21k_Mp1p3_Am3_Op0p0001_ise_report.json</x:v>
      </x:c>
    </x:row>
    <x:row r="262">
      <x:c r="A262" s="66" t="str">
        <x:v>261_21k_Mp1p3_Am2_Op0p00001_ise</x:v>
      </x:c>
      <x:c r="B262" s="66" t="str">
        <x:v>21k</x:v>
      </x:c>
      <x:c r="C262" s="66" t="n">
        <x:v>1.3</x:v>
      </x:c>
      <x:c r="D262" s="66" t="n">
        <x:v>-2</x:v>
      </x:c>
      <x:c r="E262" s="66" t="n">
        <x:v>0.00001</x:v>
      </x:c>
      <x:c r="F262" s="66" t="str">
        <x:v>isentropic</x:v>
      </x:c>
      <x:c r="G262" s="66" t="str">
        <x:v>FQRUP</x:v>
      </x:c>
      <x:c r="H262" s="66" t="str">
        <x:v>OK</x:v>
      </x:c>
      <x:c r="I262" s="66" t="n">
        <x:v>1</x:v>
      </x:c>
      <x:c r="J262" s="66" t="n">
        <x:v>0</x:v>
      </x:c>
      <x:c r="K262" s="66" t="n">
        <x:v>81.969</x:v>
      </x:c>
      <x:c r="L262" s="66" t="n">
        <x:v>0.0290811716766253</x:v>
      </x:c>
      <x:c r="M262" s="66" t="n">
        <x:v>-0.00160864581029168</x:v>
      </x:c>
      <x:c r="N262" s="66" t="n">
        <x:v>0.00443728302940166</x:v>
      </x:c>
      <x:c r="O262" s="66" t="n">
        <x:v>0.0289085972681342</x:v>
      </x:c>
      <x:c r="P262" s="66" t="n">
        <x:v>0.00544949821150477</x:v>
      </x:c>
      <x:c r="Q262" s="66" t="n">
        <x:v>8.86482872363647e-9</x:v>
      </x:c>
      <x:c r="R262" s="66" t="str">
        <x:v>C:\Users\admin\.codex\.chatgpt-projects\g-p-6910508be2a081919b9cb5881a96c92b\overnight_refinement_2026-08-27\reports\261_21k_Mp1p3_Am2_Op0p00001_ise_report.json</x:v>
      </x:c>
    </x:row>
    <x:row r="263">
      <x:c r="A263" s="66" t="str">
        <x:v>262_21k_Mp1p3_Am2_Op0p0001_ise</x:v>
      </x:c>
      <x:c r="B263" s="66" t="str">
        <x:v>21k</x:v>
      </x:c>
      <x:c r="C263" s="66" t="n">
        <x:v>1.3</x:v>
      </x:c>
      <x:c r="D263" s="66" t="n">
        <x:v>-2</x:v>
      </x:c>
      <x:c r="E263" s="66" t="n">
        <x:v>0.0001</x:v>
      </x:c>
      <x:c r="F263" s="66" t="str">
        <x:v>isentropic</x:v>
      </x:c>
      <x:c r="G263" s="66" t="str">
        <x:v>FQRUP</x:v>
      </x:c>
      <x:c r="H263" s="66" t="str">
        <x:v>OK</x:v>
      </x:c>
      <x:c r="I263" s="66" t="n">
        <x:v>1</x:v>
      </x:c>
      <x:c r="J263" s="66" t="n">
        <x:v>0</x:v>
      </x:c>
      <x:c r="K263" s="66" t="n">
        <x:v>82.125</x:v>
      </x:c>
      <x:c r="L263" s="66" t="n">
        <x:v>0.0290952768176557</x:v>
      </x:c>
      <x:c r="M263" s="66" t="n">
        <x:v>-0.0016072479033785</x:v>
      </x:c>
      <x:c r="N263" s="66" t="n">
        <x:v>0.00444054141790745</x:v>
      </x:c>
      <x:c r="O263" s="66" t="n">
        <x:v>0.0289225801005749</x:v>
      </x:c>
      <x:c r="P263" s="66" t="n">
        <x:v>0.0054532468774112</x:v>
      </x:c>
      <x:c r="Q263" s="66" t="n">
        <x:v>8.87326722376102e-8</x:v>
      </x:c>
      <x:c r="R263" s="66" t="str">
        <x:v>C:\Users\admin\.codex\.chatgpt-projects\g-p-6910508be2a081919b9cb5881a96c92b\overnight_refinement_2026-08-27\reports\262_21k_Mp1p3_Am2_Op0p0001_ise_report.json</x:v>
      </x:c>
    </x:row>
    <x:row r="264">
      <x:c r="A264" s="66" t="str">
        <x:v>263_21k_Mp1p3_Am1_Op0p00001_ise</x:v>
      </x:c>
      <x:c r="B264" s="66" t="str">
        <x:v>21k</x:v>
      </x:c>
      <x:c r="C264" s="66" t="n">
        <x:v>1.3</x:v>
      </x:c>
      <x:c r="D264" s="66" t="n">
        <x:v>-1</x:v>
      </x:c>
      <x:c r="E264" s="66" t="n">
        <x:v>0.00001</x:v>
      </x:c>
      <x:c r="F264" s="66" t="str">
        <x:v>isentropic</x:v>
      </x:c>
      <x:c r="G264" s="66" t="str">
        <x:v>FQRUP</x:v>
      </x:c>
      <x:c r="H264" s="66" t="str">
        <x:v>OK</x:v>
      </x:c>
      <x:c r="I264" s="66" t="n">
        <x:v>1</x:v>
      </x:c>
      <x:c r="J264" s="66" t="n">
        <x:v>0</x:v>
      </x:c>
      <x:c r="K264" s="66" t="n">
        <x:v>82.156</x:v>
      </x:c>
      <x:c r="L264" s="66" t="n">
        <x:v>0.0303878323430014</x:v>
      </x:c>
      <x:c r="M264" s="66" t="n">
        <x:v>-0.000516803926811985</x:v>
      </x:c>
      <x:c r="N264" s="66" t="n">
        <x:v>-0.000283690110604999</x:v>
      </x:c>
      <x:c r="O264" s="66" t="n">
        <x:v>0.0303881552040613</x:v>
      </x:c>
      <x:c r="P264" s="66" t="n">
        <x:v>0.00024669389757102</x:v>
      </x:c>
      <x:c r="Q264" s="66" t="n">
        <x:v>8.85451664365228e-9</x:v>
      </x:c>
      <x:c r="R264" s="66" t="str">
        <x:v>C:\Users\admin\.codex\.chatgpt-projects\g-p-6910508be2a081919b9cb5881a96c92b\overnight_refinement_2026-08-27\reports\263_21k_Mp1p3_Am1_Op0p00001_ise_report.json</x:v>
      </x:c>
    </x:row>
    <x:row r="265">
      <x:c r="A265" s="66" t="str">
        <x:v>264_21k_Mp1p3_Am1_Op0p0001_ise</x:v>
      </x:c>
      <x:c r="B265" s="66" t="str">
        <x:v>21k</x:v>
      </x:c>
      <x:c r="C265" s="66" t="n">
        <x:v>1.3</x:v>
      </x:c>
      <x:c r="D265" s="66" t="n">
        <x:v>-1</x:v>
      </x:c>
      <x:c r="E265" s="66" t="n">
        <x:v>0.0001</x:v>
      </x:c>
      <x:c r="F265" s="66" t="str">
        <x:v>isentropic</x:v>
      </x:c>
      <x:c r="G265" s="66" t="str">
        <x:v>FQRUP</x:v>
      </x:c>
      <x:c r="H265" s="66" t="str">
        <x:v>OK</x:v>
      </x:c>
      <x:c r="I265" s="66" t="n">
        <x:v>1</x:v>
      </x:c>
      <x:c r="J265" s="66" t="n">
        <x:v>0</x:v>
      </x:c>
      <x:c r="K265" s="66" t="n">
        <x:v>82.578</x:v>
      </x:c>
      <x:c r="L265" s="66" t="n">
        <x:v>0.0304006070077313</x:v>
      </x:c>
      <x:c r="M265" s="66" t="n">
        <x:v>-0.000518411052680962</x:v>
      </x:c>
      <x:c r="N265" s="66" t="n">
        <x:v>-0.000273137084235361</x:v>
      </x:c>
      <x:c r="O265" s="66" t="n">
        <x:v>0.0304007437474425</x:v>
      </x:c>
      <x:c r="P265" s="66" t="n">
        <x:v>0.000257468265304593</x:v>
      </x:c>
      <x:c r="Q265" s="66" t="n">
        <x:v>8.86176239341413e-8</x:v>
      </x:c>
      <x:c r="R265" s="66" t="str">
        <x:v>C:\Users\admin\.codex\.chatgpt-projects\g-p-6910508be2a081919b9cb5881a96c92b\overnight_refinement_2026-08-27\reports\264_21k_Mp1p3_Am1_Op0p0001_ise_report.json</x:v>
      </x:c>
    </x:row>
    <x:row r="266">
      <x:c r="A266" s="66" t="str">
        <x:v>265_21k_Mp1p3_Ap0_Op0p00001_ise</x:v>
      </x:c>
      <x:c r="B266" s="66" t="str">
        <x:v>21k</x:v>
      </x:c>
      <x:c r="C266" s="66" t="n">
        <x:v>1.3</x:v>
      </x:c>
      <x:c r="D266" s="66" t="n">
        <x:v>0</x:v>
      </x:c>
      <x:c r="E266" s="66" t="n">
        <x:v>0.00001</x:v>
      </x:c>
      <x:c r="F266" s="66" t="str">
        <x:v>isentropic</x:v>
      </x:c>
      <x:c r="G266" s="66" t="str">
        <x:v>FQRUP</x:v>
      </x:c>
      <x:c r="H266" s="66" t="str">
        <x:v>OK</x:v>
      </x:c>
      <x:c r="I266" s="66" t="n">
        <x:v>1</x:v>
      </x:c>
      <x:c r="J266" s="66" t="n">
        <x:v>0</x:v>
      </x:c>
      <x:c r="K266" s="66" t="n">
        <x:v>82.531</x:v>
      </x:c>
      <x:c r="L266" s="66" t="n">
        <x:v>0.0302154719243253</x:v>
      </x:c>
      <x:c r="M266" s="66" t="n">
        <x:v>-0.000386671900114821</x:v>
      </x:c>
      <x:c r="N266" s="66" t="n">
        <x:v>-0.00790523013996563</x:v>
      </x:c>
      <x:c r="O266" s="66" t="n">
        <x:v>0.0302154719243253</x:v>
      </x:c>
      <x:c r="P266" s="66" t="n">
        <x:v>-0.00790523013996563</x:v>
      </x:c>
      <x:c r="Q266" s="66" t="n">
        <x:v>8.86179191903648e-9</x:v>
      </x:c>
      <x:c r="R266" s="66" t="str">
        <x:v>C:\Users\admin\.codex\.chatgpt-projects\g-p-6910508be2a081919b9cb5881a96c92b\overnight_refinement_2026-08-27\reports\265_21k_Mp1p3_Ap0_Op0p00001_ise_report.json</x:v>
      </x:c>
    </x:row>
    <x:row r="267">
      <x:c r="A267" s="66" t="str">
        <x:v>266_21k_Mp1p3_Ap0_Op0p0001_ise</x:v>
      </x:c>
      <x:c r="B267" s="66" t="str">
        <x:v>21k</x:v>
      </x:c>
      <x:c r="C267" s="66" t="n">
        <x:v>1.3</x:v>
      </x:c>
      <x:c r="D267" s="66" t="n">
        <x:v>0</x:v>
      </x:c>
      <x:c r="E267" s="66" t="n">
        <x:v>0.0001</x:v>
      </x:c>
      <x:c r="F267" s="66" t="str">
        <x:v>isentropic</x:v>
      </x:c>
      <x:c r="G267" s="66" t="str">
        <x:v>FQRUP</x:v>
      </x:c>
      <x:c r="H267" s="66" t="str">
        <x:v>OK</x:v>
      </x:c>
      <x:c r="I267" s="66" t="n">
        <x:v>1</x:v>
      </x:c>
      <x:c r="J267" s="66" t="n">
        <x:v>0</x:v>
      </x:c>
      <x:c r="K267" s="66" t="n">
        <x:v>81.937</x:v>
      </x:c>
      <x:c r="L267" s="66" t="n">
        <x:v>0.030225271871041</x:v>
      </x:c>
      <x:c r="M267" s="66" t="n">
        <x:v>-0.00038854044735401</x:v>
      </x:c>
      <x:c r="N267" s="66" t="n">
        <x:v>-0.00788625462381195</x:v>
      </x:c>
      <x:c r="O267" s="66" t="n">
        <x:v>0.030225271871041</x:v>
      </x:c>
      <x:c r="P267" s="66" t="n">
        <x:v>-0.00788625462381195</x:v>
      </x:c>
      <x:c r="Q267" s="66" t="n">
        <x:v>8.86834221623357e-8</x:v>
      </x:c>
      <x:c r="R267" s="66" t="str">
        <x:v>C:\Users\admin\.codex\.chatgpt-projects\g-p-6910508be2a081919b9cb5881a96c92b\overnight_refinement_2026-08-27\reports\266_21k_Mp1p3_Ap0_Op0p0001_ise_report.json</x:v>
      </x:c>
    </x:row>
    <x:row r="268">
      <x:c r="A268" s="66" t="str">
        <x:v>267_21k_Mp1p3_Ap1_Op0p00001_ise</x:v>
      </x:c>
      <x:c r="B268" s="66" t="str">
        <x:v>21k</x:v>
      </x:c>
      <x:c r="C268" s="66" t="n">
        <x:v>1.3</x:v>
      </x:c>
      <x:c r="D268" s="66" t="n">
        <x:v>1</x:v>
      </x:c>
      <x:c r="E268" s="66" t="n">
        <x:v>0.00001</x:v>
      </x:c>
      <x:c r="F268" s="66" t="str">
        <x:v>isentropic</x:v>
      </x:c>
      <x:c r="G268" s="66" t="str">
        <x:v>FQRUP</x:v>
      </x:c>
      <x:c r="H268" s="66" t="str">
        <x:v>OK</x:v>
      </x:c>
      <x:c r="I268" s="66" t="n">
        <x:v>1</x:v>
      </x:c>
      <x:c r="J268" s="66" t="n">
        <x:v>0</x:v>
      </x:c>
      <x:c r="K268" s="66" t="n">
        <x:v>82.594</x:v>
      </x:c>
      <x:c r="L268" s="66" t="n">
        <x:v>0.0290994135314316</x:v>
      </x:c>
      <x:c r="M268" s="66" t="n">
        <x:v>-0.000109128661471441</x:v>
      </x:c>
      <x:c r="N268" s="66" t="n">
        <x:v>-0.0148361146627673</x:v>
      </x:c>
      <x:c r="O268" s="66" t="n">
        <x:v>0.0288360556467598</x:v>
      </x:c>
      <x:c r="P268" s="66" t="n">
        <x:v>-0.015341709842681</x:v>
      </x:c>
      <x:c r="Q268" s="66" t="n">
        <x:v>9.31641004012412e-9</x:v>
      </x:c>
      <x:c r="R268" s="66" t="str">
        <x:v>C:\Users\admin\.codex\.chatgpt-projects\g-p-6910508be2a081919b9cb5881a96c92b\overnight_refinement_2026-08-27\reports\267_21k_Mp1p3_Ap1_Op0p00001_ise_report.json</x:v>
      </x:c>
    </x:row>
    <x:row r="269">
      <x:c r="A269" s="66" t="str">
        <x:v>268_21k_Mp1p3_Ap1_Op0p0001_ise</x:v>
      </x:c>
      <x:c r="B269" s="66" t="str">
        <x:v>21k</x:v>
      </x:c>
      <x:c r="C269" s="66" t="n">
        <x:v>1.3</x:v>
      </x:c>
      <x:c r="D269" s="66" t="n">
        <x:v>1</x:v>
      </x:c>
      <x:c r="E269" s="66" t="n">
        <x:v>0.0001</x:v>
      </x:c>
      <x:c r="F269" s="66" t="str">
        <x:v>isentropic</x:v>
      </x:c>
      <x:c r="G269" s="66" t="str">
        <x:v>FQRUP</x:v>
      </x:c>
      <x:c r="H269" s="66" t="str">
        <x:v>OK</x:v>
      </x:c>
      <x:c r="I269" s="66" t="n">
        <x:v>1</x:v>
      </x:c>
      <x:c r="J269" s="66" t="n">
        <x:v>0</x:v>
      </x:c>
      <x:c r="K269" s="66" t="n">
        <x:v>82.25</x:v>
      </x:c>
      <x:c r="L269" s="66" t="n">
        <x:v>0.0291056094313651</x:v>
      </x:c>
      <x:c r="M269" s="66" t="n">
        <x:v>-0.00011128736410766</x:v>
      </x:c>
      <x:c r="N269" s="66" t="n">
        <x:v>-0.014811562519982</x:v>
      </x:c>
      <x:c r="O269" s="66" t="n">
        <x:v>0.0288426790970026</x:v>
      </x:c>
      <x:c r="P269" s="66" t="n">
        <x:v>-0.0153172695726698</x:v>
      </x:c>
      <x:c r="Q269" s="66" t="n">
        <x:v>9.31530558963576e-8</x:v>
      </x:c>
      <x:c r="R269" s="66" t="str">
        <x:v>C:\Users\admin\.codex\.chatgpt-projects\g-p-6910508be2a081919b9cb5881a96c92b\overnight_refinement_2026-08-27\reports\268_21k_Mp1p3_Ap1_Op0p0001_ise_report.json</x:v>
      </x:c>
    </x:row>
    <x:row r="270">
      <x:c r="A270" s="66" t="str">
        <x:v>269_21k_Mp1p3_Ap2_Op0p00001_ise</x:v>
      </x:c>
      <x:c r="B270" s="66" t="str">
        <x:v>21k</x:v>
      </x:c>
      <x:c r="C270" s="66" t="n">
        <x:v>1.3</x:v>
      </x:c>
      <x:c r="D270" s="66" t="n">
        <x:v>2</x:v>
      </x:c>
      <x:c r="E270" s="66" t="n">
        <x:v>0.00001</x:v>
      </x:c>
      <x:c r="F270" s="66" t="str">
        <x:v>isentropic</x:v>
      </x:c>
      <x:c r="G270" s="66" t="str">
        <x:v>FQRUP</x:v>
      </x:c>
      <x:c r="H270" s="66" t="str">
        <x:v>OK</x:v>
      </x:c>
      <x:c r="I270" s="66" t="n">
        <x:v>1</x:v>
      </x:c>
      <x:c r="J270" s="66" t="n">
        <x:v>0</x:v>
      </x:c>
      <x:c r="K270" s="66" t="n">
        <x:v>82.422</x:v>
      </x:c>
      <x:c r="L270" s="66" t="n">
        <x:v>0.0273639133632197</x:v>
      </x:c>
      <x:c r="M270" s="66" t="n">
        <x:v>0.00188084069834837</x:v>
      </x:c>
      <x:c r="N270" s="66" t="n">
        <x:v>-0.00758644130511467</x:v>
      </x:c>
      <x:c r="O270" s="66" t="n">
        <x:v>0.0270824810232355</x:v>
      </x:c>
      <x:c r="P270" s="66" t="n">
        <x:v>-0.00853680665423759</x:v>
      </x:c>
      <x:c r="Q270" s="66" t="n">
        <x:v>9.69409265443277e-9</x:v>
      </x:c>
      <x:c r="R270" s="66" t="str">
        <x:v>C:\Users\admin\.codex\.chatgpt-projects\g-p-6910508be2a081919b9cb5881a96c92b\overnight_refinement_2026-08-27\reports\269_21k_Mp1p3_Ap2_Op0p00001_ise_report.json</x:v>
      </x:c>
    </x:row>
    <x:row r="271">
      <x:c r="A271" s="66" t="str">
        <x:v>270_21k_Mp1p3_Ap2_Op0p0001_ise</x:v>
      </x:c>
      <x:c r="B271" s="66" t="str">
        <x:v>21k</x:v>
      </x:c>
      <x:c r="C271" s="66" t="n">
        <x:v>1.3</x:v>
      </x:c>
      <x:c r="D271" s="66" t="n">
        <x:v>2</x:v>
      </x:c>
      <x:c r="E271" s="66" t="n">
        <x:v>0.0001</x:v>
      </x:c>
      <x:c r="F271" s="66" t="str">
        <x:v>isentropic</x:v>
      </x:c>
      <x:c r="G271" s="66" t="str">
        <x:v>FQRUP</x:v>
      </x:c>
      <x:c r="H271" s="66" t="str">
        <x:v>OK</x:v>
      </x:c>
      <x:c r="I271" s="66" t="n">
        <x:v>1</x:v>
      </x:c>
      <x:c r="J271" s="66" t="n">
        <x:v>0</x:v>
      </x:c>
      <x:c r="K271" s="66" t="n">
        <x:v>81.672</x:v>
      </x:c>
      <x:c r="L271" s="66" t="n">
        <x:v>0.0273646552935221</x:v>
      </x:c>
      <x:c r="M271" s="66" t="n">
        <x:v>0.00188499795473741</x:v>
      </x:c>
      <x:c r="N271" s="66" t="n">
        <x:v>-0.0075588285294332</x:v>
      </x:c>
      <x:c r="O271" s="66" t="n">
        <x:v>0.0270841861735478</x:v>
      </x:c>
      <x:c r="P271" s="66" t="n">
        <x:v>-0.00850923659250713</x:v>
      </x:c>
      <x:c r="Q271" s="66" t="n">
        <x:v>9.68701451230394e-8</x:v>
      </x:c>
      <x:c r="R271" s="66" t="str">
        <x:v>C:\Users\admin\.codex\.chatgpt-projects\g-p-6910508be2a081919b9cb5881a96c92b\overnight_refinement_2026-08-27\reports\270_21k_Mp1p3_Ap2_Op0p0001_ise_report.json</x:v>
      </x:c>
    </x:row>
    <x:row r="272">
      <x:c r="A272" s="66" t="str">
        <x:v>271_21k_Mp1p3_Ap3_Op0p00001_ise</x:v>
      </x:c>
      <x:c r="B272" s="66" t="str">
        <x:v>21k</x:v>
      </x:c>
      <x:c r="C272" s="66" t="n">
        <x:v>1.3</x:v>
      </x:c>
      <x:c r="D272" s="66" t="n">
        <x:v>3</x:v>
      </x:c>
      <x:c r="E272" s="66" t="n">
        <x:v>0.00001</x:v>
      </x:c>
      <x:c r="F272" s="66" t="str">
        <x:v>isentropic</x:v>
      </x:c>
      <x:c r="G272" s="66" t="str">
        <x:v>FQRUP</x:v>
      </x:c>
      <x:c r="H272" s="66" t="str">
        <x:v>OK</x:v>
      </x:c>
      <x:c r="I272" s="66" t="n">
        <x:v>1</x:v>
      </x:c>
      <x:c r="J272" s="66" t="n">
        <x:v>0</x:v>
      </x:c>
      <x:c r="K272" s="66" t="n">
        <x:v>82.797</x:v>
      </x:c>
      <x:c r="L272" s="66" t="n">
        <x:v>0.0257281777930269</x:v>
      </x:c>
      <x:c r="M272" s="66" t="n">
        <x:v>0.00762008911616612</x:v>
      </x:c>
      <x:c r="N272" s="66" t="n">
        <x:v>0.0167319655186124</x:v>
      </x:c>
      <x:c r="O272" s="66" t="n">
        <x:v>0.026568601634774</x:v>
      </x:c>
      <x:c r="P272" s="66" t="n">
        <x:v>0.0153625261541949</x:v>
      </x:c>
      <x:c r="Q272" s="66" t="n">
        <x:v>9.92593049089983e-9</x:v>
      </x:c>
      <x:c r="R272" s="66" t="str">
        <x:v>C:\Users\admin\.codex\.chatgpt-projects\g-p-6910508be2a081919b9cb5881a96c92b\overnight_refinement_2026-08-27\reports\271_21k_Mp1p3_Ap3_Op0p00001_ise_report.json</x:v>
      </x:c>
    </x:row>
    <x:row r="273">
      <x:c r="A273" s="66" t="str">
        <x:v>272_21k_Mp1p3_Ap3_Op0p0001_ise</x:v>
      </x:c>
      <x:c r="B273" s="66" t="str">
        <x:v>21k</x:v>
      </x:c>
      <x:c r="C273" s="66" t="n">
        <x:v>1.3</x:v>
      </x:c>
      <x:c r="D273" s="66" t="n">
        <x:v>3</x:v>
      </x:c>
      <x:c r="E273" s="66" t="n">
        <x:v>0.0001</x:v>
      </x:c>
      <x:c r="F273" s="66" t="str">
        <x:v>isentropic</x:v>
      </x:c>
      <x:c r="G273" s="66" t="str">
        <x:v>FQRUP</x:v>
      </x:c>
      <x:c r="H273" s="66" t="str">
        <x:v>OK</x:v>
      </x:c>
      <x:c r="I273" s="66" t="n">
        <x:v>1</x:v>
      </x:c>
      <x:c r="J273" s="66" t="n">
        <x:v>0</x:v>
      </x:c>
      <x:c r="K273" s="66" t="n">
        <x:v>81.891</x:v>
      </x:c>
      <x:c r="L273" s="66" t="n">
        <x:v>0.0257254558656983</x:v>
      </x:c>
      <x:c r="M273" s="66" t="n">
        <x:v>0.00762932814630115</x:v>
      </x:c>
      <x:c r="N273" s="66" t="n">
        <x:v>0.0167620399978555</x:v>
      </x:c>
      <x:c r="O273" s="66" t="n">
        <x:v>0.0265674574143819</x:v>
      </x:c>
      <x:c r="P273" s="66" t="n">
        <x:v>0.015392701872079</x:v>
      </x:c>
      <x:c r="Q273" s="66" t="n">
        <x:v>9.90671986670776e-8</x:v>
      </x:c>
      <x:c r="R273" s="66" t="str">
        <x:v>C:\Users\admin\.codex\.chatgpt-projects\g-p-6910508be2a081919b9cb5881a96c92b\overnight_refinement_2026-08-27\reports\272_21k_Mp1p3_Ap3_Op0p0001_ise_report.json</x:v>
      </x:c>
    </x:row>
    <x:row r="274">
      <x:c r="A274" s="66" t="str">
        <x:v>273_21k_Mp1p3_Ap4_Op0p00001_ise</x:v>
      </x:c>
      <x:c r="B274" s="66" t="str">
        <x:v>21k</x:v>
      </x:c>
      <x:c r="C274" s="66" t="n">
        <x:v>1.3</x:v>
      </x:c>
      <x:c r="D274" s="66" t="n">
        <x:v>4</x:v>
      </x:c>
      <x:c r="E274" s="66" t="n">
        <x:v>0.00001</x:v>
      </x:c>
      <x:c r="F274" s="66" t="str">
        <x:v>isentropic</x:v>
      </x:c>
      <x:c r="G274" s="66" t="str">
        <x:v>FQRUP</x:v>
      </x:c>
      <x:c r="H274" s="66" t="str">
        <x:v>OK</x:v>
      </x:c>
      <x:c r="I274" s="66" t="n">
        <x:v>1</x:v>
      </x:c>
      <x:c r="J274" s="66" t="n">
        <x:v>0</x:v>
      </x:c>
      <x:c r="K274" s="66" t="n">
        <x:v>81.938</x:v>
      </x:c>
      <x:c r="L274" s="66" t="n">
        <x:v>0.0234107565004778</x:v>
      </x:c>
      <x:c r="M274" s="66" t="n">
        <x:v>0.0119524636535871</x:v>
      </x:c>
      <x:c r="N274" s="66" t="n">
        <x:v>0.0594980132365826</x:v>
      </x:c>
      <x:c r="O274" s="66" t="n">
        <x:v>0.0275041006724284</x:v>
      </x:c>
      <x:c r="P274" s="66" t="n">
        <x:v>0.0577200272455423</x:v>
      </x:c>
      <x:c r="Q274" s="66" t="n">
        <x:v>1.02182800418708e-8</x:v>
      </x:c>
      <x:c r="R274" s="66" t="str">
        <x:v>C:\Users\admin\.codex\.chatgpt-projects\g-p-6910508be2a081919b9cb5881a96c92b\overnight_refinement_2026-08-27\reports\273_21k_Mp1p3_Ap4_Op0p00001_ise_report.json</x:v>
      </x:c>
    </x:row>
    <x:row r="275">
      <x:c r="A275" s="66" t="str">
        <x:v>274_21k_Mp1p3_Ap4_Op0p0001_ise</x:v>
      </x:c>
      <x:c r="B275" s="66" t="str">
        <x:v>21k</x:v>
      </x:c>
      <x:c r="C275" s="66" t="n">
        <x:v>1.3</x:v>
      </x:c>
      <x:c r="D275" s="66" t="n">
        <x:v>4</x:v>
      </x:c>
      <x:c r="E275" s="66" t="n">
        <x:v>0.0001</x:v>
      </x:c>
      <x:c r="F275" s="66" t="str">
        <x:v>isentropic</x:v>
      </x:c>
      <x:c r="G275" s="66" t="str">
        <x:v>FQRUP</x:v>
      </x:c>
      <x:c r="H275" s="66" t="str">
        <x:v>OK</x:v>
      </x:c>
      <x:c r="I275" s="66" t="n">
        <x:v>1</x:v>
      </x:c>
      <x:c r="J275" s="66" t="n">
        <x:v>0</x:v>
      </x:c>
      <x:c r="K275" s="66" t="n">
        <x:v>81.313</x:v>
      </x:c>
      <x:c r="L275" s="66" t="n">
        <x:v>0.0234001237126392</x:v>
      </x:c>
      <x:c r="M275" s="66" t="n">
        <x:v>0.0119465703345864</x:v>
      </x:c>
      <x:c r="N275" s="66" t="n">
        <x:v>0.0595304633997329</x:v>
      </x:c>
      <x:c r="O275" s="66" t="n">
        <x:v>0.0274957573944804</x:v>
      </x:c>
      <x:c r="P275" s="66" t="n">
        <x:v>0.0577531400675118</x:v>
      </x:c>
      <x:c r="Q275" s="66" t="n">
        <x:v>1.02028972130111e-7</x:v>
      </x:c>
      <x:c r="R275" s="66" t="str">
        <x:v>C:\Users\admin\.codex\.chatgpt-projects\g-p-6910508be2a081919b9cb5881a96c92b\overnight_refinement_2026-08-27\reports\274_21k_Mp1p3_Ap4_Op0p0001_ise_report.json</x:v>
      </x:c>
    </x:row>
    <x:row r="276">
      <x:c r="A276" s="66" t="str">
        <x:v>275_21k_Mp1p35_Am4_Op0p00001_ise</x:v>
      </x:c>
      <x:c r="B276" s="66" t="str">
        <x:v>21k</x:v>
      </x:c>
      <x:c r="C276" s="66" t="n">
        <x:v>1.35</x:v>
      </x:c>
      <x:c r="D276" s="66" t="n">
        <x:v>-4</x:v>
      </x:c>
      <x:c r="E276" s="66" t="n">
        <x:v>0.00001</x:v>
      </x:c>
      <x:c r="F276" s="66" t="str">
        <x:v>isentropic</x:v>
      </x:c>
      <x:c r="G276" s="66" t="str">
        <x:v>FQRUP</x:v>
      </x:c>
      <x:c r="H276" s="66" t="str">
        <x:v>OK</x:v>
      </x:c>
      <x:c r="I276" s="66" t="n">
        <x:v>1</x:v>
      </x:c>
      <x:c r="J276" s="66" t="n">
        <x:v>0</x:v>
      </x:c>
      <x:c r="K276" s="66" t="n">
        <x:v>76.453</x:v>
      </x:c>
      <x:c r="L276" s="66" t="n">
        <x:v>0.0105959005468384</x:v>
      </x:c>
      <x:c r="M276" s="66" t="n">
        <x:v>-0.00336468293397906</x:v>
      </x:c>
      <x:c r="N276" s="66" t="n">
        <x:v>0.00233034490148789</x:v>
      </x:c>
      <x:c r="O276" s="66" t="n">
        <x:v>0.010407532822719</x:v>
      </x:c>
      <x:c r="P276" s="66" t="n">
        <x:v>0.00306380095672149</x:v>
      </x:c>
      <x:c r="Q276" s="66" t="n">
        <x:v>8.46156259183055e-9</x:v>
      </x:c>
      <x:c r="R276" s="66" t="str">
        <x:v>C:\Users\admin\.codex\.chatgpt-projects\g-p-6910508be2a081919b9cb5881a96c92b\overnight_refinement_2026-08-27\reports\275_21k_Mp1p35_Am4_Op0p00001_ise_report.json</x:v>
      </x:c>
    </x:row>
    <x:row r="277">
      <x:c r="A277" s="66" t="str">
        <x:v>276_21k_Mp1p35_Am4_Op0p0001_ise</x:v>
      </x:c>
      <x:c r="B277" s="66" t="str">
        <x:v>21k</x:v>
      </x:c>
      <x:c r="C277" s="66" t="n">
        <x:v>1.35</x:v>
      </x:c>
      <x:c r="D277" s="66" t="n">
        <x:v>-4</x:v>
      </x:c>
      <x:c r="E277" s="66" t="n">
        <x:v>0.0001</x:v>
      </x:c>
      <x:c r="F277" s="66" t="str">
        <x:v>isentropic</x:v>
      </x:c>
      <x:c r="G277" s="66" t="str">
        <x:v>FQRUP</x:v>
      </x:c>
      <x:c r="H277" s="66" t="str">
        <x:v>OK</x:v>
      </x:c>
      <x:c r="I277" s="66" t="n">
        <x:v>1</x:v>
      </x:c>
      <x:c r="J277" s="66" t="n">
        <x:v>0</x:v>
      </x:c>
      <x:c r="K277" s="66" t="n">
        <x:v>76.75</x:v>
      </x:c>
      <x:c r="L277" s="66" t="n">
        <x:v>0.0106348822813318</x:v>
      </x:c>
      <x:c r="M277" s="66" t="n">
        <x:v>-0.00334813007687864</x:v>
      </x:c>
      <x:c r="N277" s="66" t="n">
        <x:v>0.00233103125198085</x:v>
      </x:c>
      <x:c r="O277" s="66" t="n">
        <x:v>0.0104463717222763</x:v>
      </x:c>
      <x:c r="P277" s="66" t="n">
        <x:v>0.00306720486363783</x:v>
      </x:c>
      <x:c r="Q277" s="66" t="n">
        <x:v>8.488356102079e-8</x:v>
      </x:c>
      <x:c r="R277" s="66" t="str">
        <x:v>C:\Users\admin\.codex\.chatgpt-projects\g-p-6910508be2a081919b9cb5881a96c92b\overnight_refinement_2026-08-27\reports\276_21k_Mp1p35_Am4_Op0p0001_ise_report.json</x:v>
      </x:c>
    </x:row>
    <x:row r="278">
      <x:c r="A278" s="66" t="str">
        <x:v>277_21k_Mp1p35_Am3_Op0p00001_ise</x:v>
      </x:c>
      <x:c r="B278" s="66" t="str">
        <x:v>21k</x:v>
      </x:c>
      <x:c r="C278" s="66" t="n">
        <x:v>1.35</x:v>
      </x:c>
      <x:c r="D278" s="66" t="n">
        <x:v>-3</x:v>
      </x:c>
      <x:c r="E278" s="66" t="n">
        <x:v>0.00001</x:v>
      </x:c>
      <x:c r="F278" s="66" t="str">
        <x:v>isentropic</x:v>
      </x:c>
      <x:c r="G278" s="66" t="str">
        <x:v>FQRUP</x:v>
      </x:c>
      <x:c r="H278" s="66" t="str">
        <x:v>OK</x:v>
      </x:c>
      <x:c r="I278" s="66" t="n">
        <x:v>1</x:v>
      </x:c>
      <x:c r="J278" s="66" t="n">
        <x:v>0</x:v>
      </x:c>
      <x:c r="K278" s="66" t="n">
        <x:v>76.266</x:v>
      </x:c>
      <x:c r="L278" s="66" t="n">
        <x:v>0.0133846781791802</x:v>
      </x:c>
      <x:c r="M278" s="66" t="n">
        <x:v>-0.000778964851402882</x:v>
      </x:c>
      <x:c r="N278" s="66" t="n">
        <x:v>0.0126463800738482</x:v>
      </x:c>
      <x:c r="O278" s="66" t="n">
        <x:v>0.0127044745487379</x:v>
      </x:c>
      <x:c r="P278" s="66" t="n">
        <x:v>0.013329548580988</x:v>
      </x:c>
      <x:c r="Q278" s="66" t="n">
        <x:v>8.42441326221775e-9</x:v>
      </x:c>
      <x:c r="R278" s="66" t="str">
        <x:v>C:\Users\admin\.codex\.chatgpt-projects\g-p-6910508be2a081919b9cb5881a96c92b\overnight_refinement_2026-08-27\reports\277_21k_Mp1p35_Am3_Op0p00001_ise_report.json</x:v>
      </x:c>
    </x:row>
    <x:row r="279">
      <x:c r="A279" s="66" t="str">
        <x:v>278_21k_Mp1p35_Am3_Op0p0001_ise</x:v>
      </x:c>
      <x:c r="B279" s="66" t="str">
        <x:v>21k</x:v>
      </x:c>
      <x:c r="C279" s="66" t="n">
        <x:v>1.35</x:v>
      </x:c>
      <x:c r="D279" s="66" t="n">
        <x:v>-3</x:v>
      </x:c>
      <x:c r="E279" s="66" t="n">
        <x:v>0.0001</x:v>
      </x:c>
      <x:c r="F279" s="66" t="str">
        <x:v>isentropic</x:v>
      </x:c>
      <x:c r="G279" s="66" t="str">
        <x:v>FQRUP</x:v>
      </x:c>
      <x:c r="H279" s="66" t="str">
        <x:v>OK</x:v>
      </x:c>
      <x:c r="I279" s="66" t="n">
        <x:v>1</x:v>
      </x:c>
      <x:c r="J279" s="66" t="n">
        <x:v>0</x:v>
      </x:c>
      <x:c r="K279" s="66" t="n">
        <x:v>76.656</x:v>
      </x:c>
      <x:c r="L279" s="66" t="n">
        <x:v>0.0134153355107626</x:v>
      </x:c>
      <x:c r="M279" s="66" t="n">
        <x:v>-0.000769010963265198</x:v>
      </x:c>
      <x:c r="N279" s="66" t="n">
        <x:v>0.0126463366683353</x:v>
      </x:c>
      <x:c r="O279" s="66" t="n">
        <x:v>0.0127350921371818</x:v>
      </x:c>
      <x:c r="P279" s="66" t="n">
        <x:v>0.0133311097157251</x:v>
      </x:c>
      <x:c r="Q279" s="66" t="n">
        <x:v>8.45088341909119e-8</x:v>
      </x:c>
      <x:c r="R279" s="66" t="str">
        <x:v>C:\Users\admin\.codex\.chatgpt-projects\g-p-6910508be2a081919b9cb5881a96c92b\overnight_refinement_2026-08-27\reports\278_21k_Mp1p35_Am3_Op0p0001_ise_report.json</x:v>
      </x:c>
    </x:row>
    <x:row r="280">
      <x:c r="A280" s="66" t="str">
        <x:v>279_21k_Mp1p35_Am2_Op0p00001_ise</x:v>
      </x:c>
      <x:c r="B280" s="66" t="str">
        <x:v>21k</x:v>
      </x:c>
      <x:c r="C280" s="66" t="n">
        <x:v>1.35</x:v>
      </x:c>
      <x:c r="D280" s="66" t="n">
        <x:v>-2</x:v>
      </x:c>
      <x:c r="E280" s="66" t="n">
        <x:v>0.00001</x:v>
      </x:c>
      <x:c r="F280" s="66" t="str">
        <x:v>isentropic</x:v>
      </x:c>
      <x:c r="G280" s="66" t="str">
        <x:v>FQRUP</x:v>
      </x:c>
      <x:c r="H280" s="66" t="str">
        <x:v>OK</x:v>
      </x:c>
      <x:c r="I280" s="66" t="n">
        <x:v>1</x:v>
      </x:c>
      <x:c r="J280" s="66" t="n">
        <x:v>0</x:v>
      </x:c>
      <x:c r="K280" s="66" t="n">
        <x:v>75.922</x:v>
      </x:c>
      <x:c r="L280" s="66" t="n">
        <x:v>0.0151755929862751</x:v>
      </x:c>
      <x:c r="M280" s="66" t="n">
        <x:v>0.000494603396549336</x:v>
      </x:c>
      <x:c r="N280" s="66" t="n">
        <x:v>0.00859775928674877</x:v>
      </x:c>
      <x:c r="O280" s="66" t="n">
        <x:v>0.0148662909531819</x:v>
      </x:c>
      <x:c r="P280" s="66" t="n">
        <x:v>0.00912214232147797</x:v>
      </x:c>
      <x:c r="Q280" s="66" t="n">
        <x:v>8.58102243471576e-9</x:v>
      </x:c>
      <x:c r="R280" s="66" t="str">
        <x:v>C:\Users\admin\.codex\.chatgpt-projects\g-p-6910508be2a081919b9cb5881a96c92b\overnight_refinement_2026-08-27\reports\279_21k_Mp1p35_Am2_Op0p00001_ise_report.json</x:v>
      </x:c>
    </x:row>
    <x:row r="281">
      <x:c r="A281" s="66" t="str">
        <x:v>280_21k_Mp1p35_Am2_Op0p0001_ise</x:v>
      </x:c>
      <x:c r="B281" s="66" t="str">
        <x:v>21k</x:v>
      </x:c>
      <x:c r="C281" s="66" t="n">
        <x:v>1.35</x:v>
      </x:c>
      <x:c r="D281" s="66" t="n">
        <x:v>-2</x:v>
      </x:c>
      <x:c r="E281" s="66" t="n">
        <x:v>0.0001</x:v>
      </x:c>
      <x:c r="F281" s="66" t="str">
        <x:v>isentropic</x:v>
      </x:c>
      <x:c r="G281" s="66" t="str">
        <x:v>FQRUP</x:v>
      </x:c>
      <x:c r="H281" s="66" t="str">
        <x:v>OK</x:v>
      </x:c>
      <x:c r="I281" s="66" t="n">
        <x:v>1</x:v>
      </x:c>
      <x:c r="J281" s="66" t="n">
        <x:v>0</x:v>
      </x:c>
      <x:c r="K281" s="66" t="n">
        <x:v>76.328</x:v>
      </x:c>
      <x:c r="L281" s="66" t="n">
        <x:v>0.0151997723013971</x:v>
      </x:c>
      <x:c r="M281" s="66" t="n">
        <x:v>0.000500776119057515</x:v>
      </x:c>
      <x:c r="N281" s="66" t="n">
        <x:v>0.00859624315059846</x:v>
      </x:c>
      <x:c r="O281" s="66" t="n">
        <x:v>0.014890508451307</x:v>
      </x:c>
      <x:c r="P281" s="66" t="n">
        <x:v>0.00912147095484521</x:v>
      </x:c>
      <x:c r="Q281" s="66" t="n">
        <x:v>8.60304053494322e-8</x:v>
      </x:c>
      <x:c r="R281" s="66" t="str">
        <x:v>C:\Users\admin\.codex\.chatgpt-projects\g-p-6910508be2a081919b9cb5881a96c92b\overnight_refinement_2026-08-27\reports\280_21k_Mp1p35_Am2_Op0p0001_ise_report.json</x:v>
      </x:c>
    </x:row>
    <x:row r="282">
      <x:c r="A282" s="66" t="str">
        <x:v>281_21k_Mp1p35_Am1_Op0p00001_ise</x:v>
      </x:c>
      <x:c r="B282" s="66" t="str">
        <x:v>21k</x:v>
      </x:c>
      <x:c r="C282" s="66" t="n">
        <x:v>1.35</x:v>
      </x:c>
      <x:c r="D282" s="66" t="n">
        <x:v>-1</x:v>
      </x:c>
      <x:c r="E282" s="66" t="n">
        <x:v>0.00001</x:v>
      </x:c>
      <x:c r="F282" s="66" t="str">
        <x:v>isentropic</x:v>
      </x:c>
      <x:c r="G282" s="66" t="str">
        <x:v>FQRUP</x:v>
      </x:c>
      <x:c r="H282" s="66" t="str">
        <x:v>OK</x:v>
      </x:c>
      <x:c r="I282" s="66" t="n">
        <x:v>1</x:v>
      </x:c>
      <x:c r="J282" s="66" t="n">
        <x:v>0</x:v>
      </x:c>
      <x:c r="K282" s="66" t="n">
        <x:v>76.157</x:v>
      </x:c>
      <x:c r="L282" s="66" t="n">
        <x:v>0.01604466360391</x:v>
      </x:c>
      <x:c r="M282" s="66" t="n">
        <x:v>0.000501290463861798</x:v>
      </x:c>
      <x:c r="N282" s="66" t="n">
        <x:v>0.000176154511121589</x:v>
      </x:c>
      <x:c r="O282" s="66" t="n">
        <x:v>0.0160391456038052</x:v>
      </x:c>
      <x:c r="P282" s="66" t="n">
        <x:v>0.000456145672301249</x:v>
      </x:c>
      <x:c r="Q282" s="66" t="n">
        <x:v>8.97353405883283e-9</x:v>
      </x:c>
      <x:c r="R282" s="66" t="str">
        <x:v>C:\Users\admin\.codex\.chatgpt-projects\g-p-6910508be2a081919b9cb5881a96c92b\overnight_refinement_2026-08-27\reports\281_21k_Mp1p35_Am1_Op0p00001_ise_report.json</x:v>
      </x:c>
    </x:row>
    <x:row r="283">
      <x:c r="A283" s="66" t="str">
        <x:v>282_21k_Mp1p35_Am1_Op0p0001_ise</x:v>
      </x:c>
      <x:c r="B283" s="66" t="str">
        <x:v>21k</x:v>
      </x:c>
      <x:c r="C283" s="66" t="n">
        <x:v>1.35</x:v>
      </x:c>
      <x:c r="D283" s="66" t="n">
        <x:v>-1</x:v>
      </x:c>
      <x:c r="E283" s="66" t="n">
        <x:v>0.0001</x:v>
      </x:c>
      <x:c r="F283" s="66" t="str">
        <x:v>isentropic</x:v>
      </x:c>
      <x:c r="G283" s="66" t="str">
        <x:v>FQRUP</x:v>
      </x:c>
      <x:c r="H283" s="66" t="str">
        <x:v>OK</x:v>
      </x:c>
      <x:c r="I283" s="66" t="n">
        <x:v>1</x:v>
      </x:c>
      <x:c r="J283" s="66" t="n">
        <x:v>0</x:v>
      </x:c>
      <x:c r="K283" s="66" t="n">
        <x:v>76.156</x:v>
      </x:c>
      <x:c r="L283" s="66" t="n">
        <x:v>0.0160655737941596</x:v>
      </x:c>
      <x:c r="M283" s="66" t="n">
        <x:v>0.000505003980911368</x:v>
      </x:c>
      <x:c r="N283" s="66" t="n">
        <x:v>0.000164112407470152</x:v>
      </x:c>
      <x:c r="O283" s="66" t="n">
        <x:v>0.0160602627730188</x:v>
      </x:c>
      <x:c r="P283" s="66" t="n">
        <x:v>0.000444470335859442</x:v>
      </x:c>
      <x:c r="Q283" s="66" t="n">
        <x:v>8.98757325285161e-8</x:v>
      </x:c>
      <x:c r="R283" s="66" t="str">
        <x:v>C:\Users\admin\.codex\.chatgpt-projects\g-p-6910508be2a081919b9cb5881a96c92b\overnight_refinement_2026-08-27\reports\282_21k_Mp1p35_Am1_Op0p0001_ise_report.json</x:v>
      </x:c>
    </x:row>
    <x:row r="284">
      <x:c r="A284" s="66" t="str">
        <x:v>283_21k_Mp1p35_Ap0_Op0p00001_ise</x:v>
      </x:c>
      <x:c r="B284" s="66" t="str">
        <x:v>21k</x:v>
      </x:c>
      <x:c r="C284" s="66" t="n">
        <x:v>1.35</x:v>
      </x:c>
      <x:c r="D284" s="66" t="n">
        <x:v>0</x:v>
      </x:c>
      <x:c r="E284" s="66" t="n">
        <x:v>0.00001</x:v>
      </x:c>
      <x:c r="F284" s="66" t="str">
        <x:v>isentropic</x:v>
      </x:c>
      <x:c r="G284" s="66" t="str">
        <x:v>FQRUP</x:v>
      </x:c>
      <x:c r="H284" s="66" t="str">
        <x:v>OK</x:v>
      </x:c>
      <x:c r="I284" s="66" t="n">
        <x:v>1</x:v>
      </x:c>
      <x:c r="J284" s="66" t="n">
        <x:v>0</x:v>
      </x:c>
      <x:c r="K284" s="66" t="n">
        <x:v>76.562</x:v>
      </x:c>
      <x:c r="L284" s="66" t="n">
        <x:v>0.0161273270020182</x:v>
      </x:c>
      <x:c r="M284" s="66" t="n">
        <x:v>0.000182937030249299</x:v>
      </x:c>
      <x:c r="N284" s="66" t="n">
        <x:v>-0.0099949334356509</x:v>
      </x:c>
      <x:c r="O284" s="66" t="n">
        <x:v>0.0161273270020182</x:v>
      </x:c>
      <x:c r="P284" s="66" t="n">
        <x:v>-0.0099949334356509</x:v>
      </x:c>
      <x:c r="Q284" s="66" t="n">
        <x:v>9.192672746964e-9</x:v>
      </x:c>
      <x:c r="R284" s="66" t="str">
        <x:v>C:\Users\admin\.codex\.chatgpt-projects\g-p-6910508be2a081919b9cb5881a96c92b\overnight_refinement_2026-08-27\reports\283_21k_Mp1p35_Ap0_Op0p00001_ise_report.json</x:v>
      </x:c>
    </x:row>
    <x:row r="285">
      <x:c r="A285" s="66" t="str">
        <x:v>284_21k_Mp1p35_Ap0_Op0p0001_ise</x:v>
      </x:c>
      <x:c r="B285" s="66" t="str">
        <x:v>21k</x:v>
      </x:c>
      <x:c r="C285" s="66" t="n">
        <x:v>1.35</x:v>
      </x:c>
      <x:c r="D285" s="66" t="n">
        <x:v>0</x:v>
      </x:c>
      <x:c r="E285" s="66" t="n">
        <x:v>0.0001</x:v>
      </x:c>
      <x:c r="F285" s="66" t="str">
        <x:v>isentropic</x:v>
      </x:c>
      <x:c r="G285" s="66" t="str">
        <x:v>FQRUP</x:v>
      </x:c>
      <x:c r="H285" s="66" t="str">
        <x:v>OK</x:v>
      </x:c>
      <x:c r="I285" s="66" t="n">
        <x:v>1</x:v>
      </x:c>
      <x:c r="J285" s="66" t="n">
        <x:v>0</x:v>
      </x:c>
      <x:c r="K285" s="66" t="n">
        <x:v>75.938</x:v>
      </x:c>
      <x:c r="L285" s="66" t="n">
        <x:v>0.0161457346298693</x:v>
      </x:c>
      <x:c r="M285" s="66" t="n">
        <x:v>0.00018448805218465</x:v>
      </x:c>
      <x:c r="N285" s="66" t="n">
        <x:v>-0.0100131705394297</x:v>
      </x:c>
      <x:c r="O285" s="66" t="n">
        <x:v>0.0161457346298693</x:v>
      </x:c>
      <x:c r="P285" s="66" t="n">
        <x:v>-0.0100131705394297</x:v>
      </x:c>
      <x:c r="Q285" s="66" t="n">
        <x:v>9.20099415380828e-8</x:v>
      </x:c>
      <x:c r="R285" s="66" t="str">
        <x:v>C:\Users\admin\.codex\.chatgpt-projects\g-p-6910508be2a081919b9cb5881a96c92b\overnight_refinement_2026-08-27\reports\284_21k_Mp1p35_Ap0_Op0p0001_ise_report.json</x:v>
      </x:c>
    </x:row>
    <x:row r="286">
      <x:c r="A286" s="66" t="str">
        <x:v>285_21k_Mp1p35_Ap1_Op0p00001_ise</x:v>
      </x:c>
      <x:c r="B286" s="66" t="str">
        <x:v>21k</x:v>
      </x:c>
      <x:c r="C286" s="66" t="n">
        <x:v>1.35</x:v>
      </x:c>
      <x:c r="D286" s="66" t="n">
        <x:v>1</x:v>
      </x:c>
      <x:c r="E286" s="66" t="n">
        <x:v>0.00001</x:v>
      </x:c>
      <x:c r="F286" s="66" t="str">
        <x:v>isentropic</x:v>
      </x:c>
      <x:c r="G286" s="66" t="str">
        <x:v>FQRUP</x:v>
      </x:c>
      <x:c r="H286" s="66" t="str">
        <x:v>OK</x:v>
      </x:c>
      <x:c r="I286" s="66" t="n">
        <x:v>1</x:v>
      </x:c>
      <x:c r="J286" s="66" t="n">
        <x:v>0</x:v>
      </x:c>
      <x:c r="K286" s="66" t="n">
        <x:v>76.094</x:v>
      </x:c>
      <x:c r="L286" s="66" t="n">
        <x:v>0.015117012396223</x:v>
      </x:c>
      <x:c r="M286" s="66" t="n">
        <x:v>0.00170868914173886</x:v>
      </x:c>
      <x:c r="N286" s="66" t="n">
        <x:v>-0.0177589386923568</x:v>
      </x:c>
      <x:c r="O286" s="66" t="n">
        <x:v>0.0148047737860604</x:v>
      </x:c>
      <x:c r="P286" s="66" t="n">
        <x:v>-0.0180200621644329</x:v>
      </x:c>
      <x:c r="Q286" s="66" t="n">
        <x:v>9.54760360404192e-9</x:v>
      </x:c>
      <x:c r="R286" s="66" t="str">
        <x:v>C:\Users\admin\.codex\.chatgpt-projects\g-p-6910508be2a081919b9cb5881a96c92b\overnight_refinement_2026-08-27\reports\285_21k_Mp1p35_Ap1_Op0p00001_ise_report.json</x:v>
      </x:c>
    </x:row>
    <x:row r="287">
      <x:c r="A287" s="66" t="str">
        <x:v>286_21k_Mp1p35_Ap1_Op0p0001_ise</x:v>
      </x:c>
      <x:c r="B287" s="66" t="str">
        <x:v>21k</x:v>
      </x:c>
      <x:c r="C287" s="66" t="n">
        <x:v>1.35</x:v>
      </x:c>
      <x:c r="D287" s="66" t="n">
        <x:v>1</x:v>
      </x:c>
      <x:c r="E287" s="66" t="n">
        <x:v>0.0001</x:v>
      </x:c>
      <x:c r="F287" s="66" t="str">
        <x:v>isentropic</x:v>
      </x:c>
      <x:c r="G287" s="66" t="str">
        <x:v>FQRUP</x:v>
      </x:c>
      <x:c r="H287" s="66" t="str">
        <x:v>OK</x:v>
      </x:c>
      <x:c r="I287" s="66" t="n">
        <x:v>1</x:v>
      </x:c>
      <x:c r="J287" s="66" t="n">
        <x:v>0</x:v>
      </x:c>
      <x:c r="K287" s="66" t="n">
        <x:v>75.563</x:v>
      </x:c>
      <x:c r="L287" s="66" t="n">
        <x:v>0.0151354612681973</x:v>
      </x:c>
      <x:c r="M287" s="66" t="n">
        <x:v>0.00170992608904597</x:v>
      </x:c>
      <x:c r="N287" s="66" t="n">
        <x:v>-0.0177813774415177</x:v>
      </x:c>
      <x:c r="O287" s="66" t="n">
        <x:v>0.0148228282380118</x:v>
      </x:c>
      <x:c r="P287" s="66" t="n">
        <x:v>-0.0180428194732757</x:v>
      </x:c>
      <x:c r="Q287" s="66" t="n">
        <x:v>9.54936413117198e-8</x:v>
      </x:c>
      <x:c r="R287" s="66" t="str">
        <x:v>C:\Users\admin\.codex\.chatgpt-projects\g-p-6910508be2a081919b9cb5881a96c92b\overnight_refinement_2026-08-27\reports\286_21k_Mp1p35_Ap1_Op0p0001_ise_report.json</x:v>
      </x:c>
    </x:row>
    <x:row r="288">
      <x:c r="A288" s="66" t="str">
        <x:v>287_21k_Mp1p35_Ap2_Op0p00001_ise</x:v>
      </x:c>
      <x:c r="B288" s="66" t="str">
        <x:v>21k</x:v>
      </x:c>
      <x:c r="C288" s="66" t="n">
        <x:v>1.35</x:v>
      </x:c>
      <x:c r="D288" s="66" t="n">
        <x:v>2</x:v>
      </x:c>
      <x:c r="E288" s="66" t="n">
        <x:v>0.00001</x:v>
      </x:c>
      <x:c r="F288" s="66" t="str">
        <x:v>isentropic</x:v>
      </x:c>
      <x:c r="G288" s="66" t="str">
        <x:v>FQRUP</x:v>
      </x:c>
      <x:c r="H288" s="66" t="str">
        <x:v>OK</x:v>
      </x:c>
      <x:c r="I288" s="66" t="n">
        <x:v>1</x:v>
      </x:c>
      <x:c r="J288" s="66" t="n">
        <x:v>0</x:v>
      </x:c>
      <x:c r="K288" s="66" t="n">
        <x:v>76.297</x:v>
      </x:c>
      <x:c r="L288" s="66" t="n">
        <x:v>0.0139953758710379</x:v>
      </x:c>
      <x:c r="M288" s="66" t="n">
        <x:v>0.00582797335930539</x:v>
      </x:c>
      <x:c r="N288" s="66" t="n">
        <x:v>-0.0108740814408989</x:v>
      </x:c>
      <x:c r="O288" s="66" t="n">
        <x:v>0.0136073502968103</x:v>
      </x:c>
      <x:c r="P288" s="66" t="n">
        <x:v>-0.0113558888183545</x:v>
      </x:c>
      <x:c r="Q288" s="66" t="n">
        <x:v>9.81628547093725e-9</x:v>
      </x:c>
      <x:c r="R288" s="66" t="str">
        <x:v>C:\Users\admin\.codex\.chatgpt-projects\g-p-6910508be2a081919b9cb5881a96c92b\overnight_refinement_2026-08-27\reports\287_21k_Mp1p35_Ap2_Op0p00001_ise_report.json</x:v>
      </x:c>
    </x:row>
    <x:row r="289">
      <x:c r="A289" s="66" t="str">
        <x:v>288_21k_Mp1p35_Ap2_Op0p0001_ise</x:v>
      </x:c>
      <x:c r="B289" s="66" t="str">
        <x:v>21k</x:v>
      </x:c>
      <x:c r="C289" s="66" t="n">
        <x:v>1.35</x:v>
      </x:c>
      <x:c r="D289" s="66" t="n">
        <x:v>2</x:v>
      </x:c>
      <x:c r="E289" s="66" t="n">
        <x:v>0.0001</x:v>
      </x:c>
      <x:c r="F289" s="66" t="str">
        <x:v>isentropic</x:v>
      </x:c>
      <x:c r="G289" s="66" t="str">
        <x:v>FQRUP</x:v>
      </x:c>
      <x:c r="H289" s="66" t="str">
        <x:v>OK</x:v>
      </x:c>
      <x:c r="I289" s="66" t="n">
        <x:v>1</x:v>
      </x:c>
      <x:c r="J289" s="66" t="n">
        <x:v>0</x:v>
      </x:c>
      <x:c r="K289" s="66" t="n">
        <x:v>75.969</x:v>
      </x:c>
      <x:c r="L289" s="66" t="n">
        <x:v>0.014016312095665</x:v>
      </x:c>
      <x:c r="M289" s="66" t="n">
        <x:v>0.00583132143521787</x:v>
      </x:c>
      <x:c r="N289" s="66" t="n">
        <x:v>-0.0109018208710012</x:v>
      </x:c>
      <x:c r="O289" s="66" t="n">
        <x:v>0.0136273056755056</x:v>
      </x:c>
      <x:c r="P289" s="66" t="n">
        <x:v>-0.0113843420140478</x:v>
      </x:c>
      <x:c r="Q289" s="66" t="n">
        <x:v>9.81004884558406e-8</x:v>
      </x:c>
      <x:c r="R289" s="66" t="str">
        <x:v>C:\Users\admin\.codex\.chatgpt-projects\g-p-6910508be2a081919b9cb5881a96c92b\overnight_refinement_2026-08-27\reports\288_21k_Mp1p35_Ap2_Op0p0001_ise_report.json</x:v>
      </x:c>
    </x:row>
    <x:row r="290">
      <x:c r="A290" s="66" t="str">
        <x:v>289_21k_Mp1p35_Ap3_Op0p00001_ise</x:v>
      </x:c>
      <x:c r="B290" s="66" t="str">
        <x:v>21k</x:v>
      </x:c>
      <x:c r="C290" s="66" t="n">
        <x:v>1.35</x:v>
      </x:c>
      <x:c r="D290" s="66" t="n">
        <x:v>3</x:v>
      </x:c>
      <x:c r="E290" s="66" t="n">
        <x:v>0.00001</x:v>
      </x:c>
      <x:c r="F290" s="66" t="str">
        <x:v>isentropic</x:v>
      </x:c>
      <x:c r="G290" s="66" t="str">
        <x:v>FQRUP</x:v>
      </x:c>
      <x:c r="H290" s="66" t="str">
        <x:v>OK</x:v>
      </x:c>
      <x:c r="I290" s="66" t="n">
        <x:v>1</x:v>
      </x:c>
      <x:c r="J290" s="66" t="n">
        <x:v>0</x:v>
      </x:c>
      <x:c r="K290" s="66" t="n">
        <x:v>75.89</x:v>
      </x:c>
      <x:c r="L290" s="66" t="n">
        <x:v>0.0132497423015396</x:v>
      </x:c>
      <x:c r="M290" s="66" t="n">
        <x:v>0.0100748167474959</x:v>
      </x:c>
      <x:c r="N290" s="66" t="n">
        <x:v>0.0139528095258813</x:v>
      </x:c>
      <x:c r="O290" s="66" t="n">
        <x:v>0.0139618176190171</x:v>
      </x:c>
      <x:c r="P290" s="66" t="n">
        <x:v>0.0132402497520264</x:v>
      </x:c>
      <x:c r="Q290" s="66" t="n">
        <x:v>9.87767467607246e-9</x:v>
      </x:c>
      <x:c r="R290" s="66" t="str">
        <x:v>C:\Users\admin\.codex\.chatgpt-projects\g-p-6910508be2a081919b9cb5881a96c92b\overnight_refinement_2026-08-27\reports\289_21k_Mp1p35_Ap3_Op0p00001_ise_report.json</x:v>
      </x:c>
    </x:row>
    <x:row r="291">
      <x:c r="A291" s="66" t="str">
        <x:v>290_21k_Mp1p35_Ap3_Op0p0001_ise</x:v>
      </x:c>
      <x:c r="B291" s="66" t="str">
        <x:v>21k</x:v>
      </x:c>
      <x:c r="C291" s="66" t="n">
        <x:v>1.35</x:v>
      </x:c>
      <x:c r="D291" s="66" t="n">
        <x:v>3</x:v>
      </x:c>
      <x:c r="E291" s="66" t="n">
        <x:v>0.0001</x:v>
      </x:c>
      <x:c r="F291" s="66" t="str">
        <x:v>isentropic</x:v>
      </x:c>
      <x:c r="G291" s="66" t="str">
        <x:v>FQRUP</x:v>
      </x:c>
      <x:c r="H291" s="66" t="str">
        <x:v>OK</x:v>
      </x:c>
      <x:c r="I291" s="66" t="n">
        <x:v>1</x:v>
      </x:c>
      <x:c r="J291" s="66" t="n">
        <x:v>0</x:v>
      </x:c>
      <x:c r="K291" s="66" t="n">
        <x:v>76.39</x:v>
      </x:c>
      <x:c r="L291" s="66" t="n">
        <x:v>0.0132781208663369</x:v>
      </x:c>
      <x:c r="M291" s="66" t="n">
        <x:v>0.0100856074743194</x:v>
      </x:c>
      <x:c r="N291" s="66" t="n">
        <x:v>0.0139243613925767</x:v>
      </x:c>
      <x:c r="O291" s="66" t="n">
        <x:v>0.0139886684317178</x:v>
      </x:c>
      <x:c r="P291" s="66" t="n">
        <x:v>0.0132103553865743</x:v>
      </x:c>
      <x:c r="Q291" s="66" t="n">
        <x:v>9.87300452816431e-8</x:v>
      </x:c>
      <x:c r="R291" s="66" t="str">
        <x:v>C:\Users\admin\.codex\.chatgpt-projects\g-p-6910508be2a081919b9cb5881a96c92b\overnight_refinement_2026-08-27\reports\290_21k_Mp1p35_Ap3_Op0p0001_ise_report.json</x:v>
      </x:c>
    </x:row>
    <x:row r="292">
      <x:c r="A292" s="66" t="str">
        <x:v>291_21k_Mp1p35_Ap4_Op0p00001_ise</x:v>
      </x:c>
      <x:c r="B292" s="66" t="str">
        <x:v>21k</x:v>
      </x:c>
      <x:c r="C292" s="66" t="n">
        <x:v>1.35</x:v>
      </x:c>
      <x:c r="D292" s="66" t="n">
        <x:v>4</x:v>
      </x:c>
      <x:c r="E292" s="66" t="n">
        <x:v>0.00001</x:v>
      </x:c>
      <x:c r="F292" s="66" t="str">
        <x:v>isentropic</x:v>
      </x:c>
      <x:c r="G292" s="66" t="str">
        <x:v>FQRUP</x:v>
      </x:c>
      <x:c r="H292" s="66" t="str">
        <x:v>OK</x:v>
      </x:c>
      <x:c r="I292" s="66" t="n">
        <x:v>1</x:v>
      </x:c>
      <x:c r="J292" s="66" t="n">
        <x:v>0</x:v>
      </x:c>
      <x:c r="K292" s="66" t="n">
        <x:v>75.313</x:v>
      </x:c>
      <x:c r="L292" s="66" t="n">
        <x:v>0.0126552684084943</x:v>
      </x:c>
      <x:c r="M292" s="66" t="n">
        <x:v>0.0138214861221988</x:v>
      </x:c>
      <x:c r="N292" s="66" t="n">
        <x:v>0.0542469176888231</x:v>
      </x:c>
      <x:c r="O292" s="66" t="n">
        <x:v>0.0164085145001629</x:v>
      </x:c>
      <x:c r="P292" s="66" t="n">
        <x:v>0.0532319880253117</x:v>
      </x:c>
      <x:c r="Q292" s="66" t="n">
        <x:v>9.81487592616189e-9</x:v>
      </x:c>
      <x:c r="R292" s="66" t="str">
        <x:v>C:\Users\admin\.codex\.chatgpt-projects\g-p-6910508be2a081919b9cb5881a96c92b\overnight_refinement_2026-08-27\reports\291_21k_Mp1p35_Ap4_Op0p00001_ise_report.json</x:v>
      </x:c>
    </x:row>
    <x:row r="293">
      <x:c r="A293" s="66" t="str">
        <x:v>292_21k_Mp1p35_Ap4_Op0p0001_ise</x:v>
      </x:c>
      <x:c r="B293" s="66" t="str">
        <x:v>21k</x:v>
      </x:c>
      <x:c r="C293" s="66" t="n">
        <x:v>1.35</x:v>
      </x:c>
      <x:c r="D293" s="66" t="n">
        <x:v>4</x:v>
      </x:c>
      <x:c r="E293" s="66" t="n">
        <x:v>0.0001</x:v>
      </x:c>
      <x:c r="F293" s="66" t="str">
        <x:v>isentropic</x:v>
      </x:c>
      <x:c r="G293" s="66" t="str">
        <x:v>FQRUP</x:v>
      </x:c>
      <x:c r="H293" s="66" t="str">
        <x:v>OK</x:v>
      </x:c>
      <x:c r="I293" s="66" t="n">
        <x:v>1</x:v>
      </x:c>
      <x:c r="J293" s="66" t="n">
        <x:v>0</x:v>
      </x:c>
      <x:c r="K293" s="66" t="n">
        <x:v>75.703</x:v>
      </x:c>
      <x:c r="L293" s="66" t="n">
        <x:v>0.0126642189651947</x:v>
      </x:c>
      <x:c r="M293" s="66" t="n">
        <x:v>0.0138388258687068</x:v>
      </x:c>
      <x:c r="N293" s="66" t="n">
        <x:v>0.0542046308868138</x:v>
      </x:c>
      <x:c r="O293" s="66" t="n">
        <x:v>0.0164144934755629</x:v>
      </x:c>
      <x:c r="P293" s="66" t="n">
        <x:v>0.0531891798725533</x:v>
      </x:c>
      <x:c r="Q293" s="66" t="n">
        <x:v>9.81362151011842e-8</x:v>
      </x:c>
      <x:c r="R293" s="66" t="str">
        <x:v>C:\Users\admin\.codex\.chatgpt-projects\g-p-6910508be2a081919b9cb5881a96c92b\overnight_refinement_2026-08-27\reports\292_21k_Mp1p35_Ap4_Op0p0001_ise_report.json</x:v>
      </x:c>
    </x:row>
    <x:row r="294">
      <x:c r="A294" s="66" t="str">
        <x:v>293_21k_Mp1p4_Am4_Op0p00001_ise</x:v>
      </x:c>
      <x:c r="B294" s="66" t="str">
        <x:v>21k</x:v>
      </x:c>
      <x:c r="C294" s="66" t="n">
        <x:v>1.4</x:v>
      </x:c>
      <x:c r="D294" s="66" t="n">
        <x:v>-4</x:v>
      </x:c>
      <x:c r="E294" s="66" t="n">
        <x:v>0.00001</x:v>
      </x:c>
      <x:c r="F294" s="66" t="str">
        <x:v>isentropic</x:v>
      </x:c>
      <x:c r="G294" s="66" t="str">
        <x:v>FQRUP</x:v>
      </x:c>
      <x:c r="H294" s="66" t="str">
        <x:v>OK</x:v>
      </x:c>
      <x:c r="I294" s="66" t="n">
        <x:v>1</x:v>
      </x:c>
      <x:c r="J294" s="66" t="n">
        <x:v>0</x:v>
      </x:c>
      <x:c r="K294" s="66" t="n">
        <x:v>70.688</x:v>
      </x:c>
      <x:c r="L294" s="66" t="n">
        <x:v>0.00376586412625687</x:v>
      </x:c>
      <x:c r="M294" s="66" t="n">
        <x:v>-0.00389679198589288</x:v>
      </x:c>
      <x:c r="N294" s="66" t="n">
        <x:v>0.00643136494963024</x:v>
      </x:c>
      <x:c r="O294" s="66" t="n">
        <x:v>0.00330806133026921</x:v>
      </x:c>
      <x:c r="P294" s="66" t="n">
        <x:v>0.00667839186989939</x:v>
      </x:c>
      <x:c r="Q294" s="66" t="n">
        <x:v>8.06495139678402e-9</x:v>
      </x:c>
      <x:c r="R294" s="66" t="str">
        <x:v>C:\Users\admin\.codex\.chatgpt-projects\g-p-6910508be2a081919b9cb5881a96c92b\overnight_refinement_2026-08-27\reports\293_21k_Mp1p4_Am4_Op0p00001_ise_report.json</x:v>
      </x:c>
    </x:row>
    <x:row r="295">
      <x:c r="A295" s="66" t="str">
        <x:v>294_21k_Mp1p4_Am4_Op0p0001_ise</x:v>
      </x:c>
      <x:c r="B295" s="66" t="str">
        <x:v>21k</x:v>
      </x:c>
      <x:c r="C295" s="66" t="n">
        <x:v>1.4</x:v>
      </x:c>
      <x:c r="D295" s="66" t="n">
        <x:v>-4</x:v>
      </x:c>
      <x:c r="E295" s="66" t="n">
        <x:v>0.0001</x:v>
      </x:c>
      <x:c r="F295" s="66" t="str">
        <x:v>isentropic</x:v>
      </x:c>
      <x:c r="G295" s="66" t="str">
        <x:v>FQRUP</x:v>
      </x:c>
      <x:c r="H295" s="66" t="str">
        <x:v>OK</x:v>
      </x:c>
      <x:c r="I295" s="66" t="n">
        <x:v>1</x:v>
      </x:c>
      <x:c r="J295" s="66" t="n">
        <x:v>0</x:v>
      </x:c>
      <x:c r="K295" s="66" t="n">
        <x:v>71.015</x:v>
      </x:c>
      <x:c r="L295" s="66" t="n">
        <x:v>0.00376297924322494</x:v>
      </x:c>
      <x:c r="M295" s="66" t="n">
        <x:v>-0.00389139857680007</x:v>
      </x:c>
      <x:c r="N295" s="66" t="n">
        <x:v>0.00643988858158052</x:v>
      </x:c>
      <x:c r="O295" s="66" t="n">
        <x:v>0.003304588896159</x:v>
      </x:c>
      <x:c r="P295" s="66" t="n">
        <x:v>0.00668669349944317</x:v>
      </x:c>
      <x:c r="Q295" s="66" t="n">
        <x:v>8.09904760292202e-8</x:v>
      </x:c>
      <x:c r="R295" s="66" t="str">
        <x:v>C:\Users\admin\.codex\.chatgpt-projects\g-p-6910508be2a081919b9cb5881a96c92b\overnight_refinement_2026-08-27\reports\294_21k_Mp1p4_Am4_Op0p0001_ise_report.json</x:v>
      </x:c>
    </x:row>
    <x:row r="296">
      <x:c r="A296" s="66" t="str">
        <x:v>295_21k_Mp1p4_Am3_Op0p00001_ise</x:v>
      </x:c>
      <x:c r="B296" s="66" t="str">
        <x:v>21k</x:v>
      </x:c>
      <x:c r="C296" s="66" t="n">
        <x:v>1.4</x:v>
      </x:c>
      <x:c r="D296" s="66" t="n">
        <x:v>-3</x:v>
      </x:c>
      <x:c r="E296" s="66" t="n">
        <x:v>0.00001</x:v>
      </x:c>
      <x:c r="F296" s="66" t="str">
        <x:v>isentropic</x:v>
      </x:c>
      <x:c r="G296" s="66" t="str">
        <x:v>FQRUP</x:v>
      </x:c>
      <x:c r="H296" s="66" t="str">
        <x:v>OK</x:v>
      </x:c>
      <x:c r="I296" s="66" t="n">
        <x:v>1</x:v>
      </x:c>
      <x:c r="J296" s="66" t="n">
        <x:v>0</x:v>
      </x:c>
      <x:c r="K296" s="66" t="n">
        <x:v>69.578</x:v>
      </x:c>
      <x:c r="L296" s="66" t="n">
        <x:v>0.00730133223465975</x:v>
      </x:c>
      <x:c r="M296" s="66" t="n">
        <x:v>-0.0015762273088057</x:v>
      </x:c>
      <x:c r="N296" s="66" t="n">
        <x:v>0.0147120249900281</x:v>
      </x:c>
      <x:c r="O296" s="66" t="n">
        <x:v>0.00652135811646363</x:v>
      </x:c>
      <x:c r="P296" s="66" t="n">
        <x:v>0.0150739848754378</x:v>
      </x:c>
      <x:c r="Q296" s="66" t="n">
        <x:v>8.09668153566572e-9</x:v>
      </x:c>
      <x:c r="R296" s="66" t="str">
        <x:v>C:\Users\admin\.codex\.chatgpt-projects\g-p-6910508be2a081919b9cb5881a96c92b\overnight_refinement_2026-08-27\reports\295_21k_Mp1p4_Am3_Op0p00001_ise_report.json</x:v>
      </x:c>
    </x:row>
    <x:row r="297">
      <x:c r="A297" s="66" t="str">
        <x:v>296_21k_Mp1p4_Am3_Op0p0001_ise</x:v>
      </x:c>
      <x:c r="B297" s="66" t="str">
        <x:v>21k</x:v>
      </x:c>
      <x:c r="C297" s="66" t="n">
        <x:v>1.4</x:v>
      </x:c>
      <x:c r="D297" s="66" t="n">
        <x:v>-3</x:v>
      </x:c>
      <x:c r="E297" s="66" t="n">
        <x:v>0.0001</x:v>
      </x:c>
      <x:c r="F297" s="66" t="str">
        <x:v>isentropic</x:v>
      </x:c>
      <x:c r="G297" s="66" t="str">
        <x:v>FQRUP</x:v>
      </x:c>
      <x:c r="H297" s="66" t="str">
        <x:v>OK</x:v>
      </x:c>
      <x:c r="I297" s="66" t="n">
        <x:v>1</x:v>
      </x:c>
      <x:c r="J297" s="66" t="n">
        <x:v>0</x:v>
      </x:c>
      <x:c r="K297" s="66" t="n">
        <x:v>69.266</x:v>
      </x:c>
      <x:c r="L297" s="66" t="n">
        <x:v>0.00733222727733641</x:v>
      </x:c>
      <x:c r="M297" s="66" t="n">
        <x:v>-0.00158078343513942</x:v>
      </x:c>
      <x:c r="N297" s="66" t="n">
        <x:v>0.0146843246139941</x:v>
      </x:c>
      <x:c r="O297" s="66" t="n">
        <x:v>0.00655366054422608</x:v>
      </x:c>
      <x:c r="P297" s="66" t="n">
        <x:v>0.0150479393834081</x:v>
      </x:c>
      <x:c r="Q297" s="66" t="n">
        <x:v>8.12854310465698e-8</x:v>
      </x:c>
      <x:c r="R297" s="66" t="str">
        <x:v>C:\Users\admin\.codex\.chatgpt-projects\g-p-6910508be2a081919b9cb5881a96c92b\overnight_refinement_2026-08-27\reports\296_21k_Mp1p4_Am3_Op0p0001_ise_report.json</x:v>
      </x:c>
    </x:row>
    <x:row r="298">
      <x:c r="A298" s="66" t="str">
        <x:v>297_21k_Mp1p4_Am2_Op0p00001_ise</x:v>
      </x:c>
      <x:c r="B298" s="66" t="str">
        <x:v>21k</x:v>
      </x:c>
      <x:c r="C298" s="66" t="n">
        <x:v>1.4</x:v>
      </x:c>
      <x:c r="D298" s="66" t="n">
        <x:v>-2</x:v>
      </x:c>
      <x:c r="E298" s="66" t="n">
        <x:v>0.00001</x:v>
      </x:c>
      <x:c r="F298" s="66" t="str">
        <x:v>isentropic</x:v>
      </x:c>
      <x:c r="G298" s="66" t="str">
        <x:v>FQRUP</x:v>
      </x:c>
      <x:c r="H298" s="66" t="str">
        <x:v>OK</x:v>
      </x:c>
      <x:c r="I298" s="66" t="n">
        <x:v>1</x:v>
      </x:c>
      <x:c r="J298" s="66" t="n">
        <x:v>0</x:v>
      </x:c>
      <x:c r="K298" s="66" t="n">
        <x:v>70.453</x:v>
      </x:c>
      <x:c r="L298" s="66" t="n">
        <x:v>0.0129126960786408</x:v>
      </x:c>
      <x:c r="M298" s="66" t="n">
        <x:v>-0.000154115480217162</x:v>
      </x:c>
      <x:c r="N298" s="66" t="n">
        <x:v>0.00974669507483288</x:v>
      </x:c>
      <x:c r="O298" s="66" t="n">
        <x:v>0.0125646752604547</x:v>
      </x:c>
      <x:c r="P298" s="66" t="n">
        <x:v>0.0101914042457571</x:v>
      </x:c>
      <x:c r="Q298" s="66" t="n">
        <x:v>8.34819766298612e-9</x:v>
      </x:c>
      <x:c r="R298" s="66" t="str">
        <x:v>C:\Users\admin\.codex\.chatgpt-projects\g-p-6910508be2a081919b9cb5881a96c92b\overnight_refinement_2026-08-27\reports\297_21k_Mp1p4_Am2_Op0p00001_ise_report.json</x:v>
      </x:c>
    </x:row>
    <x:row r="299">
      <x:c r="A299" s="66" t="str">
        <x:v>298_21k_Mp1p4_Am2_Op0p0001_ise</x:v>
      </x:c>
      <x:c r="B299" s="66" t="str">
        <x:v>21k</x:v>
      </x:c>
      <x:c r="C299" s="66" t="n">
        <x:v>1.4</x:v>
      </x:c>
      <x:c r="D299" s="66" t="n">
        <x:v>-2</x:v>
      </x:c>
      <x:c r="E299" s="66" t="n">
        <x:v>0.0001</x:v>
      </x:c>
      <x:c r="F299" s="66" t="str">
        <x:v>isentropic</x:v>
      </x:c>
      <x:c r="G299" s="66" t="str">
        <x:v>FQRUP</x:v>
      </x:c>
      <x:c r="H299" s="66" t="str">
        <x:v>OK</x:v>
      </x:c>
      <x:c r="I299" s="66" t="n">
        <x:v>1</x:v>
      </x:c>
      <x:c r="J299" s="66" t="n">
        <x:v>0</x:v>
      </x:c>
      <x:c r="K299" s="66" t="n">
        <x:v>70.046</x:v>
      </x:c>
      <x:c r="L299" s="66" t="n">
        <x:v>0.0129206839916004</x:v>
      </x:c>
      <x:c r="M299" s="66" t="n">
        <x:v>-0.00015571108300979</x:v>
      </x:c>
      <x:c r="N299" s="66" t="n">
        <x:v>0.00974045406837218</x:v>
      </x:c>
      <x:c r="O299" s="66" t="n">
        <x:v>0.0125728761153779</x:v>
      </x:c>
      <x:c r="P299" s="66" t="n">
        <x:v>0.0101854458152909</x:v>
      </x:c>
      <x:c r="Q299" s="66" t="n">
        <x:v>8.37507159976544e-8</x:v>
      </x:c>
      <x:c r="R299" s="66" t="str">
        <x:v>C:\Users\admin\.codex\.chatgpt-projects\g-p-6910508be2a081919b9cb5881a96c92b\overnight_refinement_2026-08-27\reports\298_21k_Mp1p4_Am2_Op0p0001_ise_report.json</x:v>
      </x:c>
    </x:row>
    <x:row r="300">
      <x:c r="A300" s="66" t="str">
        <x:v>299_21k_Mp1p4_Am1_Op0p00001_ise</x:v>
      </x:c>
      <x:c r="B300" s="66" t="str">
        <x:v>21k</x:v>
      </x:c>
      <x:c r="C300" s="66" t="n">
        <x:v>1.4</x:v>
      </x:c>
      <x:c r="D300" s="66" t="n">
        <x:v>-1</x:v>
      </x:c>
      <x:c r="E300" s="66" t="n">
        <x:v>0.00001</x:v>
      </x:c>
      <x:c r="F300" s="66" t="str">
        <x:v>isentropic</x:v>
      </x:c>
      <x:c r="G300" s="66" t="str">
        <x:v>FQRUP</x:v>
      </x:c>
      <x:c r="H300" s="66" t="str">
        <x:v>OK</x:v>
      </x:c>
      <x:c r="I300" s="66" t="n">
        <x:v>1</x:v>
      </x:c>
      <x:c r="J300" s="66" t="n">
        <x:v>0</x:v>
      </x:c>
      <x:c r="K300" s="66" t="n">
        <x:v>69.781</x:v>
      </x:c>
      <x:c r="L300" s="66" t="n">
        <x:v>0.0156742300349836</x:v>
      </x:c>
      <x:c r="M300" s="66" t="n">
        <x:v>-0.0000866717434761677</x:v>
      </x:c>
      <x:c r="N300" s="66" t="n">
        <x:v>0.00286988428702431</x:v>
      </x:c>
      <x:c r="O300" s="66" t="n">
        <x:v>0.0156217563868243</x:v>
      </x:c>
      <x:c r="P300" s="66" t="n">
        <x:v>0.00314300022290881</x:v>
      </x:c>
      <x:c r="Q300" s="66" t="n">
        <x:v>8.54603318422844e-9</x:v>
      </x:c>
      <x:c r="R300" s="66" t="str">
        <x:v>C:\Users\admin\.codex\.chatgpt-projects\g-p-6910508be2a081919b9cb5881a96c92b\overnight_refinement_2026-08-27\reports\299_21k_Mp1p4_Am1_Op0p00001_ise_report.json</x:v>
      </x:c>
    </x:row>
    <x:row r="301">
      <x:c r="A301" s="66" t="str">
        <x:v>300_21k_Mp1p4_Am1_Op0p0001_ise</x:v>
      </x:c>
      <x:c r="B301" s="66" t="str">
        <x:v>21k</x:v>
      </x:c>
      <x:c r="C301" s="66" t="n">
        <x:v>1.4</x:v>
      </x:c>
      <x:c r="D301" s="66" t="n">
        <x:v>-1</x:v>
      </x:c>
      <x:c r="E301" s="66" t="n">
        <x:v>0.0001</x:v>
      </x:c>
      <x:c r="F301" s="66" t="str">
        <x:v>isentropic</x:v>
      </x:c>
      <x:c r="G301" s="66" t="str">
        <x:v>FQRUP</x:v>
      </x:c>
      <x:c r="H301" s="66" t="str">
        <x:v>OK</x:v>
      </x:c>
      <x:c r="I301" s="66" t="n">
        <x:v>1</x:v>
      </x:c>
      <x:c r="J301" s="66" t="n">
        <x:v>0</x:v>
      </x:c>
      <x:c r="K301" s="66" t="n">
        <x:v>70.219</x:v>
      </x:c>
      <x:c r="L301" s="66" t="n">
        <x:v>0.0156746150729269</x:v>
      </x:c>
      <x:c r="M301" s="66" t="n">
        <x:v>-0.0000865586114761305</x:v>
      </x:c>
      <x:c r="N301" s="66" t="n">
        <x:v>0.00286135482471661</x:v>
      </x:c>
      <x:c r="O301" s="66" t="n">
        <x:v>0.0156222902257674</x:v>
      </x:c>
      <x:c r="P301" s="66" t="n">
        <x:v>0.00313447877951821</x:v>
      </x:c>
      <x:c r="Q301" s="66" t="n">
        <x:v>8.56958897184167e-8</x:v>
      </x:c>
      <x:c r="R301" s="66" t="str">
        <x:v>C:\Users\admin\.codex\.chatgpt-projects\g-p-6910508be2a081919b9cb5881a96c92b\overnight_refinement_2026-08-27\reports\300_21k_Mp1p4_Am1_Op0p0001_ise_report.json</x:v>
      </x:c>
    </x:row>
    <x:row r="302">
      <x:c r="A302" s="66" t="str">
        <x:v>301_21k_Mp1p4_Ap0_Op0p00001_ise</x:v>
      </x:c>
      <x:c r="B302" s="66" t="str">
        <x:v>21k</x:v>
      </x:c>
      <x:c r="C302" s="66" t="n">
        <x:v>1.4</x:v>
      </x:c>
      <x:c r="D302" s="66" t="n">
        <x:v>0</x:v>
      </x:c>
      <x:c r="E302" s="66" t="n">
        <x:v>0.00001</x:v>
      </x:c>
      <x:c r="F302" s="66" t="str">
        <x:v>isentropic</x:v>
      </x:c>
      <x:c r="G302" s="66" t="str">
        <x:v>FQRUP</x:v>
      </x:c>
      <x:c r="H302" s="66" t="str">
        <x:v>OK</x:v>
      </x:c>
      <x:c r="I302" s="66" t="n">
        <x:v>1</x:v>
      </x:c>
      <x:c r="J302" s="66" t="n">
        <x:v>0</x:v>
      </x:c>
      <x:c r="K302" s="66" t="n">
        <x:v>69.234</x:v>
      </x:c>
      <x:c r="L302" s="66" t="n">
        <x:v>0.0162811234174168</x:v>
      </x:c>
      <x:c r="M302" s="66" t="n">
        <x:v>0.000320681799597015</x:v>
      </x:c>
      <x:c r="N302" s="66" t="n">
        <x:v>-0.00315647836069518</x:v>
      </x:c>
      <x:c r="O302" s="66" t="n">
        <x:v>0.0162811234174168</x:v>
      </x:c>
      <x:c r="P302" s="66" t="n">
        <x:v>-0.00315647836069518</x:v>
      </x:c>
      <x:c r="Q302" s="66" t="n">
        <x:v>8.97330276895708e-9</x:v>
      </x:c>
      <x:c r="R302" s="66" t="str">
        <x:v>C:\Users\admin\.codex\.chatgpt-projects\g-p-6910508be2a081919b9cb5881a96c92b\overnight_refinement_2026-08-27\reports\301_21k_Mp1p4_Ap0_Op0p00001_ise_report.json</x:v>
      </x:c>
    </x:row>
    <x:row r="303">
      <x:c r="A303" s="66" t="str">
        <x:v>302_21k_Mp1p4_Ap0_Op0p0001_ise</x:v>
      </x:c>
      <x:c r="B303" s="66" t="str">
        <x:v>21k</x:v>
      </x:c>
      <x:c r="C303" s="66" t="n">
        <x:v>1.4</x:v>
      </x:c>
      <x:c r="D303" s="66" t="n">
        <x:v>0</x:v>
      </x:c>
      <x:c r="E303" s="66" t="n">
        <x:v>0.0001</x:v>
      </x:c>
      <x:c r="F303" s="66" t="str">
        <x:v>isentropic</x:v>
      </x:c>
      <x:c r="G303" s="66" t="str">
        <x:v>FQRUP</x:v>
      </x:c>
      <x:c r="H303" s="66" t="str">
        <x:v>OK</x:v>
      </x:c>
      <x:c r="I303" s="66" t="n">
        <x:v>1</x:v>
      </x:c>
      <x:c r="J303" s="66" t="n">
        <x:v>0</x:v>
      </x:c>
      <x:c r="K303" s="66" t="n">
        <x:v>69.813</x:v>
      </x:c>
      <x:c r="L303" s="66" t="n">
        <x:v>0.0162806683158554</x:v>
      </x:c>
      <x:c r="M303" s="66" t="n">
        <x:v>0.000323805164884607</x:v>
      </x:c>
      <x:c r="N303" s="66" t="n">
        <x:v>-0.00316579859782108</x:v>
      </x:c>
      <x:c r="O303" s="66" t="n">
        <x:v>0.0162806683158554</x:v>
      </x:c>
      <x:c r="P303" s="66" t="n">
        <x:v>-0.00316579859782108</x:v>
      </x:c>
      <x:c r="Q303" s="66" t="n">
        <x:v>8.98829039337268e-8</x:v>
      </x:c>
      <x:c r="R303" s="66" t="str">
        <x:v>C:\Users\admin\.codex\.chatgpt-projects\g-p-6910508be2a081919b9cb5881a96c92b\overnight_refinement_2026-08-27\reports\302_21k_Mp1p4_Ap0_Op0p0001_ise_report.json</x:v>
      </x:c>
    </x:row>
    <x:row r="304">
      <x:c r="A304" s="66" t="str">
        <x:v>303_21k_Mp1p4_Ap1_Op0p00001_ise</x:v>
      </x:c>
      <x:c r="B304" s="66" t="str">
        <x:v>21k</x:v>
      </x:c>
      <x:c r="C304" s="66" t="n">
        <x:v>1.4</x:v>
      </x:c>
      <x:c r="D304" s="66" t="n">
        <x:v>1</x:v>
      </x:c>
      <x:c r="E304" s="66" t="n">
        <x:v>0.00001</x:v>
      </x:c>
      <x:c r="F304" s="66" t="str">
        <x:v>isentropic</x:v>
      </x:c>
      <x:c r="G304" s="66" t="str">
        <x:v>FQRUP</x:v>
      </x:c>
      <x:c r="H304" s="66" t="str">
        <x:v>OK</x:v>
      </x:c>
      <x:c r="I304" s="66" t="n">
        <x:v>1</x:v>
      </x:c>
      <x:c r="J304" s="66" t="n">
        <x:v>0</x:v>
      </x:c>
      <x:c r="K304" s="66" t="n">
        <x:v>70.75</x:v>
      </x:c>
      <x:c r="L304" s="66" t="n">
        <x:v>0.0153088963183775</x:v>
      </x:c>
      <x:c r="M304" s="66" t="n">
        <x:v>0.000496827566992766</x:v>
      </x:c>
      <x:c r="N304" s="66" t="n">
        <x:v>-0.00706955011076705</x:v>
      </x:c>
      <x:c r="O304" s="66" t="n">
        <x:v>0.0151831840374561</x:v>
      </x:c>
      <x:c r="P304" s="66" t="n">
        <x:v>-0.0073356504646976</x:v>
      </x:c>
      <x:c r="Q304" s="66" t="n">
        <x:v>9.12541188865933e-9</x:v>
      </x:c>
      <x:c r="R304" s="66" t="str">
        <x:v>C:\Users\admin\.codex\.chatgpt-projects\g-p-6910508be2a081919b9cb5881a96c92b\overnight_refinement_2026-08-27\reports\303_21k_Mp1p4_Ap1_Op0p00001_ise_report.json</x:v>
      </x:c>
    </x:row>
    <x:row r="305">
      <x:c r="A305" s="66" t="str">
        <x:v>304_21k_Mp1p4_Ap1_Op0p0001_ise</x:v>
      </x:c>
      <x:c r="B305" s="66" t="str">
        <x:v>21k</x:v>
      </x:c>
      <x:c r="C305" s="66" t="n">
        <x:v>1.4</x:v>
      </x:c>
      <x:c r="D305" s="66" t="n">
        <x:v>1</x:v>
      </x:c>
      <x:c r="E305" s="66" t="n">
        <x:v>0.0001</x:v>
      </x:c>
      <x:c r="F305" s="66" t="str">
        <x:v>isentropic</x:v>
      </x:c>
      <x:c r="G305" s="66" t="str">
        <x:v>FQRUP</x:v>
      </x:c>
      <x:c r="H305" s="66" t="str">
        <x:v>OK</x:v>
      </x:c>
      <x:c r="I305" s="66" t="n">
        <x:v>1</x:v>
      </x:c>
      <x:c r="J305" s="66" t="n">
        <x:v>0</x:v>
      </x:c>
      <x:c r="K305" s="66" t="n">
        <x:v>70.781</x:v>
      </x:c>
      <x:c r="L305" s="66" t="n">
        <x:v>0.0153057481126644</x:v>
      </x:c>
      <x:c r="M305" s="66" t="n">
        <x:v>0.000496097784388662</x:v>
      </x:c>
      <x:c r="N305" s="66" t="n">
        <x:v>-0.00708106898482184</x:v>
      </x:c>
      <x:c r="O305" s="66" t="n">
        <x:v>0.0151798352791582</x:v>
      </x:c>
      <x:c r="P305" s="66" t="n">
        <x:v>-0.00734711264060643</x:v>
      </x:c>
      <x:c r="Q305" s="66" t="n">
        <x:v>9.14903245630774e-8</x:v>
      </x:c>
      <x:c r="R305" s="66" t="str">
        <x:v>C:\Users\admin\.codex\.chatgpt-projects\g-p-6910508be2a081919b9cb5881a96c92b\overnight_refinement_2026-08-27\reports\304_21k_Mp1p4_Ap1_Op0p0001_ise_report.json</x:v>
      </x:c>
    </x:row>
    <x:row r="306">
      <x:c r="A306" s="66" t="str">
        <x:v>305_21k_Mp1p4_Ap2_Op0p00001_ise</x:v>
      </x:c>
      <x:c r="B306" s="66" t="str">
        <x:v>21k</x:v>
      </x:c>
      <x:c r="C306" s="66" t="n">
        <x:v>1.4</x:v>
      </x:c>
      <x:c r="D306" s="66" t="n">
        <x:v>2</x:v>
      </x:c>
      <x:c r="E306" s="66" t="n">
        <x:v>0.00001</x:v>
      </x:c>
      <x:c r="F306" s="66" t="str">
        <x:v>isentropic</x:v>
      </x:c>
      <x:c r="G306" s="66" t="str">
        <x:v>FQRUP</x:v>
      </x:c>
      <x:c r="H306" s="66" t="str">
        <x:v>OK</x:v>
      </x:c>
      <x:c r="I306" s="66" t="n">
        <x:v>1</x:v>
      </x:c>
      <x:c r="J306" s="66" t="n">
        <x:v>0</x:v>
      </x:c>
      <x:c r="K306" s="66" t="n">
        <x:v>71.265</x:v>
      </x:c>
      <x:c r="L306" s="66" t="n">
        <x:v>0.0141550128270362</x:v>
      </x:c>
      <x:c r="M306" s="66" t="n">
        <x:v>0.00235508130720957</x:v>
      </x:c>
      <x:c r="N306" s="66" t="n">
        <x:v>0.0000910225385949042</x:v>
      </x:c>
      <x:c r="O306" s="66" t="n">
        <x:v>0.0141495666164632</x:v>
      </x:c>
      <x:c r="P306" s="66" t="n">
        <x:v>-0.00040303573335727</x:v>
      </x:c>
      <x:c r="Q306" s="66" t="n">
        <x:v>9.33999637839649e-9</x:v>
      </x:c>
      <x:c r="R306" s="66" t="str">
        <x:v>C:\Users\admin\.codex\.chatgpt-projects\g-p-6910508be2a081919b9cb5881a96c92b\overnight_refinement_2026-08-27\reports\305_21k_Mp1p4_Ap2_Op0p00001_ise_report.json</x:v>
      </x:c>
    </x:row>
    <x:row r="307">
      <x:c r="A307" s="66" t="str">
        <x:v>306_21k_Mp1p4_Ap2_Op0p0001_ise</x:v>
      </x:c>
      <x:c r="B307" s="66" t="str">
        <x:v>21k</x:v>
      </x:c>
      <x:c r="C307" s="66" t="n">
        <x:v>1.4</x:v>
      </x:c>
      <x:c r="D307" s="66" t="n">
        <x:v>2</x:v>
      </x:c>
      <x:c r="E307" s="66" t="n">
        <x:v>0.0001</x:v>
      </x:c>
      <x:c r="F307" s="66" t="str">
        <x:v>isentropic</x:v>
      </x:c>
      <x:c r="G307" s="66" t="str">
        <x:v>FQRUP</x:v>
      </x:c>
      <x:c r="H307" s="66" t="str">
        <x:v>OK</x:v>
      </x:c>
      <x:c r="I307" s="66" t="n">
        <x:v>1</x:v>
      </x:c>
      <x:c r="J307" s="66" t="n">
        <x:v>0</x:v>
      </x:c>
      <x:c r="K307" s="66" t="n">
        <x:v>70.734</x:v>
      </x:c>
      <x:c r="L307" s="66" t="n">
        <x:v>0.0141495298062656</x:v>
      </x:c>
      <x:c r="M307" s="66" t="n">
        <x:v>0.002352371573739</x:v>
      </x:c>
      <x:c r="N307" s="66" t="n">
        <x:v>0.0000748611053879512</x:v>
      </x:c>
      <x:c r="O307" s="66" t="n">
        <x:v>0.0141435229099158</x:v>
      </x:c>
      <x:c r="P307" s="66" t="n">
        <x:v>-0.000418995966790477</x:v>
      </x:c>
      <x:c r="Q307" s="66" t="n">
        <x:v>9.34821418210348e-8</x:v>
      </x:c>
      <x:c r="R307" s="66" t="str">
        <x:v>C:\Users\admin\.codex\.chatgpt-projects\g-p-6910508be2a081919b9cb5881a96c92b\overnight_refinement_2026-08-27\reports\306_21k_Mp1p4_Ap2_Op0p0001_ise_report.json</x:v>
      </x:c>
    </x:row>
    <x:row r="308">
      <x:c r="A308" s="66" t="str">
        <x:v>307_21k_Mp1p4_Ap3_Op0p00001_ise</x:v>
      </x:c>
      <x:c r="B308" s="66" t="str">
        <x:v>21k</x:v>
      </x:c>
      <x:c r="C308" s="66" t="n">
        <x:v>1.4</x:v>
      </x:c>
      <x:c r="D308" s="66" t="n">
        <x:v>3</x:v>
      </x:c>
      <x:c r="E308" s="66" t="n">
        <x:v>0.00001</x:v>
      </x:c>
      <x:c r="F308" s="66" t="str">
        <x:v>isentropic</x:v>
      </x:c>
      <x:c r="G308" s="66" t="str">
        <x:v>FQRUP</x:v>
      </x:c>
      <x:c r="H308" s="66" t="str">
        <x:v>OK</x:v>
      </x:c>
      <x:c r="I308" s="66" t="n">
        <x:v>1</x:v>
      </x:c>
      <x:c r="J308" s="66" t="n">
        <x:v>0</x:v>
      </x:c>
      <x:c r="K308" s="66" t="n">
        <x:v>70.797</x:v>
      </x:c>
      <x:c r="L308" s="66" t="n">
        <x:v>0.0137530203864972</x:v>
      </x:c>
      <x:c r="M308" s="66" t="n">
        <x:v>0.00954447417618743</x:v>
      </x:c>
      <x:c r="N308" s="66" t="n">
        <x:v>0.0209777342175191</x:v>
      </x:c>
      <x:c r="O308" s="66" t="n">
        <x:v>0.0148320621301221</x:v>
      </x:c>
      <x:c r="P308" s="66" t="n">
        <x:v>0.0202292074886902</x:v>
      </x:c>
      <x:c r="Q308" s="66" t="n">
        <x:v>9.57229362052161e-9</x:v>
      </x:c>
      <x:c r="R308" s="66" t="str">
        <x:v>C:\Users\admin\.codex\.chatgpt-projects\g-p-6910508be2a081919b9cb5881a96c92b\overnight_refinement_2026-08-27\reports\307_21k_Mp1p4_Ap3_Op0p00001_ise_report.json</x:v>
      </x:c>
    </x:row>
    <x:row r="309">
      <x:c r="A309" s="66" t="str">
        <x:v>308_21k_Mp1p4_Ap3_Op0p0001_ise</x:v>
      </x:c>
      <x:c r="B309" s="66" t="str">
        <x:v>21k</x:v>
      </x:c>
      <x:c r="C309" s="66" t="n">
        <x:v>1.4</x:v>
      </x:c>
      <x:c r="D309" s="66" t="n">
        <x:v>3</x:v>
      </x:c>
      <x:c r="E309" s="66" t="n">
        <x:v>0.0001</x:v>
      </x:c>
      <x:c r="F309" s="66" t="str">
        <x:v>isentropic</x:v>
      </x:c>
      <x:c r="G309" s="66" t="str">
        <x:v>FQRUP</x:v>
      </x:c>
      <x:c r="H309" s="66" t="str">
        <x:v>OK</x:v>
      </x:c>
      <x:c r="I309" s="66" t="n">
        <x:v>1</x:v>
      </x:c>
      <x:c r="J309" s="66" t="n">
        <x:v>0</x:v>
      </x:c>
      <x:c r="K309" s="66" t="n">
        <x:v>70.907</x:v>
      </x:c>
      <x:c r="L309" s="66" t="n">
        <x:v>0.0137462380025306</x:v>
      </x:c>
      <x:c r="M309" s="66" t="n">
        <x:v>0.00955384638754733</x:v>
      </x:c>
      <x:c r="N309" s="66" t="n">
        <x:v>0.020959448033161</x:v>
      </x:c>
      <x:c r="O309" s="66" t="n">
        <x:v>0.0148243320162325</x:v>
      </x:c>
      <x:c r="P309" s="66" t="n">
        <x:v>0.0202113013274627</x:v>
      </x:c>
      <x:c r="Q309" s="66" t="n">
        <x:v>9.57745621528345e-8</x:v>
      </x:c>
      <x:c r="R309" s="66" t="str">
        <x:v>C:\Users\admin\.codex\.chatgpt-projects\g-p-6910508be2a081919b9cb5881a96c92b\overnight_refinement_2026-08-27\reports\308_21k_Mp1p4_Ap3_Op0p0001_ise_report.json</x:v>
      </x:c>
    </x:row>
    <x:row r="310">
      <x:c r="A310" s="66" t="str">
        <x:v>309_21k_Mp1p4_Ap4_Op0p00001_ise</x:v>
      </x:c>
      <x:c r="B310" s="66" t="str">
        <x:v>21k</x:v>
      </x:c>
      <x:c r="C310" s="66" t="n">
        <x:v>1.4</x:v>
      </x:c>
      <x:c r="D310" s="66" t="n">
        <x:v>4</x:v>
      </x:c>
      <x:c r="E310" s="66" t="n">
        <x:v>0.00001</x:v>
      </x:c>
      <x:c r="F310" s="66" t="str">
        <x:v>isentropic</x:v>
      </x:c>
      <x:c r="G310" s="66" t="str">
        <x:v>FQRUP</x:v>
      </x:c>
      <x:c r="H310" s="66" t="str">
        <x:v>OK</x:v>
      </x:c>
      <x:c r="I310" s="66" t="n">
        <x:v>1</x:v>
      </x:c>
      <x:c r="J310" s="66" t="n">
        <x:v>0</x:v>
      </x:c>
      <x:c r="K310" s="66" t="n">
        <x:v>70.672</x:v>
      </x:c>
      <x:c r="L310" s="66" t="n">
        <x:v>0.0137812715191083</x:v>
      </x:c>
      <x:c r="M310" s="66" t="n">
        <x:v>0.0152229877846937</x:v>
      </x:c>
      <x:c r="N310" s="66" t="n">
        <x:v>0.0617015131615289</x:v>
      </x:c>
      <x:c r="O310" s="66" t="n">
        <x:v>0.018051781017157</x:v>
      </x:c>
      <x:c r="P310" s="66" t="n">
        <x:v>0.0605898784716913</x:v>
      </x:c>
      <x:c r="Q310" s="66" t="n">
        <x:v>9.9396688928185e-9</x:v>
      </x:c>
      <x:c r="R310" s="66" t="str">
        <x:v>C:\Users\admin\.codex\.chatgpt-projects\g-p-6910508be2a081919b9cb5881a96c92b\overnight_refinement_2026-08-27\reports\309_21k_Mp1p4_Ap4_Op0p00001_ise_report.json</x:v>
      </x:c>
    </x:row>
    <x:row r="311">
      <x:c r="A311" s="66" t="str">
        <x:v>310_21k_Mp1p4_Ap4_Op0p0001_ise</x:v>
      </x:c>
      <x:c r="B311" s="66" t="str">
        <x:v>21k</x:v>
      </x:c>
      <x:c r="C311" s="66" t="n">
        <x:v>1.4</x:v>
      </x:c>
      <x:c r="D311" s="66" t="n">
        <x:v>4</x:v>
      </x:c>
      <x:c r="E311" s="66" t="n">
        <x:v>0.0001</x:v>
      </x:c>
      <x:c r="F311" s="66" t="str">
        <x:v>isentropic</x:v>
      </x:c>
      <x:c r="G311" s="66" t="str">
        <x:v>FQRUP</x:v>
      </x:c>
      <x:c r="H311" s="66" t="str">
        <x:v>OK</x:v>
      </x:c>
      <x:c r="I311" s="66" t="n">
        <x:v>1</x:v>
      </x:c>
      <x:c r="J311" s="66" t="n">
        <x:v>0</x:v>
      </x:c>
      <x:c r="K311" s="66" t="n">
        <x:v>71.109</x:v>
      </x:c>
      <x:c r="L311" s="66" t="n">
        <x:v>0.013774851370033</x:v>
      </x:c>
      <x:c r="M311" s="66" t="n">
        <x:v>0.0152256267044924</x:v>
      </x:c>
      <x:c r="N311" s="66" t="n">
        <x:v>0.0616764579307657</x:v>
      </x:c>
      <x:c r="O311" s="66" t="n">
        <x:v>0.0180436287426953</x:v>
      </x:c>
      <x:c r="P311" s="66" t="n">
        <x:v>0.0605653321211714</x:v>
      </x:c>
      <x:c r="Q311" s="66" t="n">
        <x:v>9.93863800232145e-8</x:v>
      </x:c>
      <x:c r="R311" s="66" t="str">
        <x:v>C:\Users\admin\.codex\.chatgpt-projects\g-p-6910508be2a081919b9cb5881a96c92b\overnight_refinement_2026-08-27\reports\310_21k_Mp1p4_Ap4_Op0p0001_ise_report.json</x:v>
      </x:c>
    </x:row>
    <x:row r="312">
      <x:c r="A312" s="66" t="str">
        <x:v>311_21k_Mp1p45_Am4_Op0p00001_ise</x:v>
      </x:c>
      <x:c r="B312" s="66" t="str">
        <x:v>21k</x:v>
      </x:c>
      <x:c r="C312" s="66" t="n">
        <x:v>1.45</x:v>
      </x:c>
      <x:c r="D312" s="66" t="n">
        <x:v>-4</x:v>
      </x:c>
      <x:c r="E312" s="66" t="n">
        <x:v>0.00001</x:v>
      </x:c>
      <x:c r="F312" s="66" t="str">
        <x:v>isentropic</x:v>
      </x:c>
      <x:c r="G312" s="66" t="str">
        <x:v>FQRUP</x:v>
      </x:c>
      <x:c r="H312" s="66" t="str">
        <x:v>OK</x:v>
      </x:c>
      <x:c r="I312" s="66" t="n">
        <x:v>1</x:v>
      </x:c>
      <x:c r="J312" s="66" t="n">
        <x:v>0</x:v>
      </x:c>
      <x:c r="K312" s="66" t="n">
        <x:v>64.688</x:v>
      </x:c>
      <x:c r="L312" s="66" t="n">
        <x:v>0.0200427268678166</x:v>
      </x:c>
      <x:c r="M312" s="66" t="n">
        <x:v>-0.00967276328401902</x:v>
      </x:c>
      <x:c r="N312" s="66" t="n">
        <x:v>0.0735279311647023</x:v>
      </x:c>
      <x:c r="O312" s="66" t="n">
        <x:v>0.0148648545927601</x:v>
      </x:c>
      <x:c r="P312" s="66" t="n">
        <x:v>0.0747469307704015</x:v>
      </x:c>
      <x:c r="Q312" s="66" t="n">
        <x:v>7.96184612203001e-9</x:v>
      </x:c>
      <x:c r="R312" s="66" t="str">
        <x:v>C:\Users\admin\.codex\.chatgpt-projects\g-p-6910508be2a081919b9cb5881a96c92b\overnight_refinement_2026-08-27\reports\311_21k_Mp1p45_Am4_Op0p00001_ise_report.json</x:v>
      </x:c>
    </x:row>
    <x:row r="313">
      <x:c r="A313" s="66" t="str">
        <x:v>312_21k_Mp1p45_Am4_Op0p0001_ise</x:v>
      </x:c>
      <x:c r="B313" s="66" t="str">
        <x:v>21k</x:v>
      </x:c>
      <x:c r="C313" s="66" t="n">
        <x:v>1.45</x:v>
      </x:c>
      <x:c r="D313" s="66" t="n">
        <x:v>-4</x:v>
      </x:c>
      <x:c r="E313" s="66" t="n">
        <x:v>0.0001</x:v>
      </x:c>
      <x:c r="F313" s="66" t="str">
        <x:v>isentropic</x:v>
      </x:c>
      <x:c r="G313" s="66" t="str">
        <x:v>FQRUP</x:v>
      </x:c>
      <x:c r="H313" s="66" t="str">
        <x:v>OK</x:v>
      </x:c>
      <x:c r="I313" s="66" t="n">
        <x:v>1</x:v>
      </x:c>
      <x:c r="J313" s="66" t="n">
        <x:v>0</x:v>
      </x:c>
      <x:c r="K313" s="66" t="n">
        <x:v>65.016</x:v>
      </x:c>
      <x:c r="L313" s="66" t="n">
        <x:v>0.0194490195294057</x:v>
      </x:c>
      <x:c r="M313" s="66" t="n">
        <x:v>-0.0199613953254893</x:v>
      </x:c>
      <x:c r="N313" s="66" t="n">
        <x:v>0.0827032096134604</x:v>
      </x:c>
      <x:c r="O313" s="66" t="n">
        <x:v>0.0136325584253801</x:v>
      </x:c>
      <x:c r="P313" s="66" t="n">
        <x:v>0.0838584437716428</x:v>
      </x:c>
      <x:c r="Q313" s="66" t="n">
        <x:v>7.9926989407859e-8</x:v>
      </x:c>
      <x:c r="R313" s="66" t="str">
        <x:v>C:\Users\admin\.codex\.chatgpt-projects\g-p-6910508be2a081919b9cb5881a96c92b\overnight_refinement_2026-08-27\reports\312_21k_Mp1p45_Am4_Op0p0001_ise_report.json</x:v>
      </x:c>
    </x:row>
    <x:row r="314">
      <x:c r="A314" s="66" t="str">
        <x:v>313_21k_Mp1p45_Am3_Op0p00001_ise</x:v>
      </x:c>
      <x:c r="B314" s="66" t="str">
        <x:v>21k</x:v>
      </x:c>
      <x:c r="C314" s="66" t="n">
        <x:v>1.45</x:v>
      </x:c>
      <x:c r="D314" s="66" t="n">
        <x:v>-3</x:v>
      </x:c>
      <x:c r="E314" s="66" t="n">
        <x:v>0.00001</x:v>
      </x:c>
      <x:c r="F314" s="66" t="str">
        <x:v>isentropic</x:v>
      </x:c>
      <x:c r="G314" s="66" t="str">
        <x:v>FQRUP</x:v>
      </x:c>
      <x:c r="H314" s="66" t="str">
        <x:v>OK</x:v>
      </x:c>
      <x:c r="I314" s="66" t="n">
        <x:v>1</x:v>
      </x:c>
      <x:c r="J314" s="66" t="n">
        <x:v>0</x:v>
      </x:c>
      <x:c r="K314" s="66" t="n">
        <x:v>65.313</x:v>
      </x:c>
      <x:c r="L314" s="66" t="n">
        <x:v>0.011660020959606</x:v>
      </x:c>
      <x:c r="M314" s="66" t="n">
        <x:v>-0.00185259223808405</x:v>
      </x:c>
      <x:c r="N314" s="66" t="n">
        <x:v>0.021213956833944</x:v>
      </x:c>
      <x:c r="O314" s="66" t="n">
        <x:v>0.0105337885895189</x:v>
      </x:c>
      <x:c r="P314" s="66" t="n">
        <x:v>0.0217951221901189</x:v>
      </x:c>
      <x:c r="Q314" s="66" t="n">
        <x:v>7.92147713346536e-9</x:v>
      </x:c>
      <x:c r="R314" s="66" t="str">
        <x:v>C:\Users\admin\.codex\.chatgpt-projects\g-p-6910508be2a081919b9cb5881a96c92b\overnight_refinement_2026-08-27\reports\313_21k_Mp1p45_Am3_Op0p00001_ise_report.json</x:v>
      </x:c>
    </x:row>
    <x:row r="315">
      <x:c r="A315" s="66" t="str">
        <x:v>314_21k_Mp1p45_Am3_Op0p0001_ise</x:v>
      </x:c>
      <x:c r="B315" s="66" t="str">
        <x:v>21k</x:v>
      </x:c>
      <x:c r="C315" s="66" t="n">
        <x:v>1.45</x:v>
      </x:c>
      <x:c r="D315" s="66" t="n">
        <x:v>-3</x:v>
      </x:c>
      <x:c r="E315" s="66" t="n">
        <x:v>0.0001</x:v>
      </x:c>
      <x:c r="F315" s="66" t="str">
        <x:v>isentropic</x:v>
      </x:c>
      <x:c r="G315" s="66" t="str">
        <x:v>FQRUP</x:v>
      </x:c>
      <x:c r="H315" s="66" t="str">
        <x:v>OK</x:v>
      </x:c>
      <x:c r="I315" s="66" t="n">
        <x:v>1</x:v>
      </x:c>
      <x:c r="J315" s="66" t="n">
        <x:v>0</x:v>
      </x:c>
      <x:c r="K315" s="66" t="n">
        <x:v>64.359</x:v>
      </x:c>
      <x:c r="L315" s="66" t="n">
        <x:v>0.0116622612166376</x:v>
      </x:c>
      <x:c r="M315" s="66" t="n">
        <x:v>-0.00185232284454689</x:v>
      </x:c>
      <x:c r="N315" s="66" t="n">
        <x:v>0.0211940818273666</x:v>
      </x:c>
      <x:c r="O315" s="66" t="n">
        <x:v>0.0105370659538307</x:v>
      </x:c>
      <x:c r="P315" s="66" t="n">
        <x:v>0.0217753916675412</x:v>
      </x:c>
      <x:c r="Q315" s="66" t="n">
        <x:v>7.95613788546994e-8</x:v>
      </x:c>
      <x:c r="R315" s="66" t="str">
        <x:v>C:\Users\admin\.codex\.chatgpt-projects\g-p-6910508be2a081919b9cb5881a96c92b\overnight_refinement_2026-08-27\reports\314_21k_Mp1p45_Am3_Op0p0001_ise_report.json</x:v>
      </x:c>
    </x:row>
    <x:row r="316">
      <x:c r="A316" s="66" t="str">
        <x:v>315_21k_Mp1p45_Am2_Op0p00001_ise</x:v>
      </x:c>
      <x:c r="B316" s="66" t="str">
        <x:v>21k</x:v>
      </x:c>
      <x:c r="C316" s="66" t="n">
        <x:v>1.45</x:v>
      </x:c>
      <x:c r="D316" s="66" t="n">
        <x:v>-2</x:v>
      </x:c>
      <x:c r="E316" s="66" t="n">
        <x:v>0.00001</x:v>
      </x:c>
      <x:c r="F316" s="66" t="str">
        <x:v>isentropic</x:v>
      </x:c>
      <x:c r="G316" s="66" t="str">
        <x:v>FQRUP</x:v>
      </x:c>
      <x:c r="H316" s="66" t="str">
        <x:v>OK</x:v>
      </x:c>
      <x:c r="I316" s="66" t="n">
        <x:v>1</x:v>
      </x:c>
      <x:c r="J316" s="66" t="n">
        <x:v>0</x:v>
      </x:c>
      <x:c r="K316" s="66" t="n">
        <x:v>64.906</x:v>
      </x:c>
      <x:c r="L316" s="66" t="n">
        <x:v>0.013344625423114</x:v>
      </x:c>
      <x:c r="M316" s="66" t="n">
        <x:v>0.000237754935007387</x:v>
      </x:c>
      <x:c r="N316" s="66" t="n">
        <x:v>0.0193978193271292</x:v>
      </x:c>
      <x:c r="O316" s="66" t="n">
        <x:v>0.0126595221062231</x:v>
      </x:c>
      <x:c r="P316" s="66" t="n">
        <x:v>0.0198517234106567</x:v>
      </x:c>
      <x:c r="Q316" s="66" t="n">
        <x:v>8.13202165464439e-9</x:v>
      </x:c>
      <x:c r="R316" s="66" t="str">
        <x:v>C:\Users\admin\.codex\.chatgpt-projects\g-p-6910508be2a081919b9cb5881a96c92b\overnight_refinement_2026-08-27\reports\315_21k_Mp1p45_Am2_Op0p00001_ise_report.json</x:v>
      </x:c>
    </x:row>
    <x:row r="317">
      <x:c r="A317" s="66" t="str">
        <x:v>316_21k_Mp1p45_Am2_Op0p0001_ise</x:v>
      </x:c>
      <x:c r="B317" s="66" t="str">
        <x:v>21k</x:v>
      </x:c>
      <x:c r="C317" s="66" t="n">
        <x:v>1.45</x:v>
      </x:c>
      <x:c r="D317" s="66" t="n">
        <x:v>-2</x:v>
      </x:c>
      <x:c r="E317" s="66" t="n">
        <x:v>0.0001</x:v>
      </x:c>
      <x:c r="F317" s="66" t="str">
        <x:v>isentropic</x:v>
      </x:c>
      <x:c r="G317" s="66" t="str">
        <x:v>FQRUP</x:v>
      </x:c>
      <x:c r="H317" s="66" t="str">
        <x:v>OK</x:v>
      </x:c>
      <x:c r="I317" s="66" t="n">
        <x:v>1</x:v>
      </x:c>
      <x:c r="J317" s="66" t="n">
        <x:v>0</x:v>
      </x:c>
      <x:c r="K317" s="66" t="n">
        <x:v>65.547</x:v>
      </x:c>
      <x:c r="L317" s="66" t="n">
        <x:v>0.0133587113717729</x:v>
      </x:c>
      <x:c r="M317" s="66" t="n">
        <x:v>0.000215913520414681</x:v>
      </x:c>
      <x:c r="N317" s="66" t="n">
        <x:v>0.0194428066405226</x:v>
      </x:c>
      <x:c r="O317" s="66" t="n">
        <x:v>0.0126720294395072</x:v>
      </x:c>
      <x:c r="P317" s="66" t="n">
        <x:v>0.0198971749115131</x:v>
      </x:c>
      <x:c r="Q317" s="66" t="n">
        <x:v>8.15987044850713e-8</x:v>
      </x:c>
      <x:c r="R317" s="66" t="str">
        <x:v>C:\Users\admin\.codex\.chatgpt-projects\g-p-6910508be2a081919b9cb5881a96c92b\overnight_refinement_2026-08-27\reports\316_21k_Mp1p45_Am2_Op0p0001_ise_report.json</x:v>
      </x:c>
    </x:row>
    <x:row r="318">
      <x:c r="A318" s="66" t="str">
        <x:v>317_21k_Mp1p45_Am1_Op0p00001_ise</x:v>
      </x:c>
      <x:c r="B318" s="66" t="str">
        <x:v>21k</x:v>
      </x:c>
      <x:c r="C318" s="66" t="n">
        <x:v>1.45</x:v>
      </x:c>
      <x:c r="D318" s="66" t="n">
        <x:v>-1</x:v>
      </x:c>
      <x:c r="E318" s="66" t="n">
        <x:v>0.00001</x:v>
      </x:c>
      <x:c r="F318" s="66" t="str">
        <x:v>isentropic</x:v>
      </x:c>
      <x:c r="G318" s="66" t="str">
        <x:v>FQRUP</x:v>
      </x:c>
      <x:c r="H318" s="66" t="str">
        <x:v>OK</x:v>
      </x:c>
      <x:c r="I318" s="66" t="n">
        <x:v>1</x:v>
      </x:c>
      <x:c r="J318" s="66" t="n">
        <x:v>0</x:v>
      </x:c>
      <x:c r="K318" s="66" t="n">
        <x:v>64.984</x:v>
      </x:c>
      <x:c r="L318" s="66" t="n">
        <x:v>0.0162853129560171</x:v>
      </x:c>
      <x:c r="M318" s="66" t="n">
        <x:v>0.000344079290707538</x:v>
      </x:c>
      <x:c r="N318" s="66" t="n">
        <x:v>0.0108657001075233</x:v>
      </x:c>
      <x:c r="O318" s="66" t="n">
        <x:v>0.0160932000094721</x:v>
      </x:c>
      <x:c r="P318" s="66" t="n">
        <x:v>0.0111482631094345</x:v>
      </x:c>
      <x:c r="Q318" s="66" t="n">
        <x:v>8.2406481185093e-9</x:v>
      </x:c>
      <x:c r="R318" s="66" t="str">
        <x:v>C:\Users\admin\.codex\.chatgpt-projects\g-p-6910508be2a081919b9cb5881a96c92b\overnight_refinement_2026-08-27\reports\317_21k_Mp1p45_Am1_Op0p00001_ise_report.json</x:v>
      </x:c>
    </x:row>
    <x:row r="319">
      <x:c r="A319" s="66" t="str">
        <x:v>318_21k_Mp1p45_Am1_Op0p0001_ise</x:v>
      </x:c>
      <x:c r="B319" s="66" t="str">
        <x:v>21k</x:v>
      </x:c>
      <x:c r="C319" s="66" t="n">
        <x:v>1.45</x:v>
      </x:c>
      <x:c r="D319" s="66" t="n">
        <x:v>-1</x:v>
      </x:c>
      <x:c r="E319" s="66" t="n">
        <x:v>0.0001</x:v>
      </x:c>
      <x:c r="F319" s="66" t="str">
        <x:v>isentropic</x:v>
      </x:c>
      <x:c r="G319" s="66" t="str">
        <x:v>FQRUP</x:v>
      </x:c>
      <x:c r="H319" s="66" t="str">
        <x:v>OK</x:v>
      </x:c>
      <x:c r="I319" s="66" t="n">
        <x:v>1</x:v>
      </x:c>
      <x:c r="J319" s="66" t="n">
        <x:v>0</x:v>
      </x:c>
      <x:c r="K319" s="66" t="n">
        <x:v>65.734</x:v>
      </x:c>
      <x:c r="L319" s="66" t="n">
        <x:v>0.0163169830971226</x:v>
      </x:c>
      <x:c r="M319" s="66" t="n">
        <x:v>0.000342827383621794</x:v>
      </x:c>
      <x:c r="N319" s="66" t="n">
        <x:v>0.0108356737728</x:v>
      </x:c>
      <x:c r="O319" s="66" t="n">
        <x:v>0.0161253893588591</x:v>
      </x:c>
      <x:c r="P319" s="66" t="n">
        <x:v>0.0111187940680419</x:v>
      </x:c>
      <x:c r="Q319" s="66" t="n">
        <x:v>8.26586649938732e-8</x:v>
      </x:c>
      <x:c r="R319" s="66" t="str">
        <x:v>C:\Users\admin\.codex\.chatgpt-projects\g-p-6910508be2a081919b9cb5881a96c92b\overnight_refinement_2026-08-27\reports\318_21k_Mp1p45_Am1_Op0p0001_ise_report.json</x:v>
      </x:c>
    </x:row>
    <x:row r="320">
      <x:c r="A320" s="66" t="str">
        <x:v>319_21k_Mp1p45_Ap0_Op0p00001_ise</x:v>
      </x:c>
      <x:c r="B320" s="66" t="str">
        <x:v>21k</x:v>
      </x:c>
      <x:c r="C320" s="66" t="n">
        <x:v>1.45</x:v>
      </x:c>
      <x:c r="D320" s="66" t="n">
        <x:v>0</x:v>
      </x:c>
      <x:c r="E320" s="66" t="n">
        <x:v>0.00001</x:v>
      </x:c>
      <x:c r="F320" s="66" t="str">
        <x:v>isentropic</x:v>
      </x:c>
      <x:c r="G320" s="66" t="str">
        <x:v>FQRUP</x:v>
      </x:c>
      <x:c r="H320" s="66" t="str">
        <x:v>OK</x:v>
      </x:c>
      <x:c r="I320" s="66" t="n">
        <x:v>1</x:v>
      </x:c>
      <x:c r="J320" s="66" t="n">
        <x:v>0</x:v>
      </x:c>
      <x:c r="K320" s="66" t="n">
        <x:v>64.75</x:v>
      </x:c>
      <x:c r="L320" s="66" t="n">
        <x:v>0.0197548093607249</x:v>
      </x:c>
      <x:c r="M320" s="66" t="n">
        <x:v>0.000194794551378146</x:v>
      </x:c>
      <x:c r="N320" s="66" t="n">
        <x:v>-0.000366359437674259</x:v>
      </x:c>
      <x:c r="O320" s="66" t="n">
        <x:v>0.0197548093607249</x:v>
      </x:c>
      <x:c r="P320" s="66" t="n">
        <x:v>-0.000366359437674259</x:v>
      </x:c>
      <x:c r="Q320" s="66" t="n">
        <x:v>8.95601324818922e-9</x:v>
      </x:c>
      <x:c r="R320" s="66" t="str">
        <x:v>C:\Users\admin\.codex\.chatgpt-projects\g-p-6910508be2a081919b9cb5881a96c92b\overnight_refinement_2026-08-27\reports\319_21k_Mp1p45_Ap0_Op0p00001_ise_report.json</x:v>
      </x:c>
    </x:row>
    <x:row r="321">
      <x:c r="A321" s="66" t="str">
        <x:v>320_21k_Mp1p45_Ap0_Op0p0001_ise</x:v>
      </x:c>
      <x:c r="B321" s="66" t="str">
        <x:v>21k</x:v>
      </x:c>
      <x:c r="C321" s="66" t="n">
        <x:v>1.45</x:v>
      </x:c>
      <x:c r="D321" s="66" t="n">
        <x:v>0</x:v>
      </x:c>
      <x:c r="E321" s="66" t="n">
        <x:v>0.0001</x:v>
      </x:c>
      <x:c r="F321" s="66" t="str">
        <x:v>isentropic</x:v>
      </x:c>
      <x:c r="G321" s="66" t="str">
        <x:v>FQRUP</x:v>
      </x:c>
      <x:c r="H321" s="66" t="str">
        <x:v>OK</x:v>
      </x:c>
      <x:c r="I321" s="66" t="n">
        <x:v>1</x:v>
      </x:c>
      <x:c r="J321" s="66" t="n">
        <x:v>0</x:v>
      </x:c>
      <x:c r="K321" s="66" t="n">
        <x:v>65.016</x:v>
      </x:c>
      <x:c r="L321" s="66" t="n">
        <x:v>0.0197638483453311</x:v>
      </x:c>
      <x:c r="M321" s="66" t="n">
        <x:v>0.00019362180441336</x:v>
      </x:c>
      <x:c r="N321" s="66" t="n">
        <x:v>-0.000376792619993775</x:v>
      </x:c>
      <x:c r="O321" s="66" t="n">
        <x:v>0.0197638483453311</x:v>
      </x:c>
      <x:c r="P321" s="66" t="n">
        <x:v>-0.000376792619993775</x:v>
      </x:c>
      <x:c r="Q321" s="66" t="n">
        <x:v>8.96878043311264e-8</x:v>
      </x:c>
      <x:c r="R321" s="66" t="str">
        <x:v>C:\Users\admin\.codex\.chatgpt-projects\g-p-6910508be2a081919b9cb5881a96c92b\overnight_refinement_2026-08-27\reports\320_21k_Mp1p45_Ap0_Op0p0001_ise_report.json</x:v>
      </x:c>
    </x:row>
    <x:row r="322">
      <x:c r="A322" s="66" t="str">
        <x:v>321_21k_Mp1p45_Ap1_Op0p00001_ise</x:v>
      </x:c>
      <x:c r="B322" s="66" t="str">
        <x:v>21k</x:v>
      </x:c>
      <x:c r="C322" s="66" t="n">
        <x:v>1.45</x:v>
      </x:c>
      <x:c r="D322" s="66" t="n">
        <x:v>1</x:v>
      </x:c>
      <x:c r="E322" s="66" t="n">
        <x:v>0.00001</x:v>
      </x:c>
      <x:c r="F322" s="66" t="str">
        <x:v>isentropic</x:v>
      </x:c>
      <x:c r="G322" s="66" t="str">
        <x:v>FQRUP</x:v>
      </x:c>
      <x:c r="H322" s="66" t="str">
        <x:v>OK</x:v>
      </x:c>
      <x:c r="I322" s="66" t="n">
        <x:v>1</x:v>
      </x:c>
      <x:c r="J322" s="66" t="n">
        <x:v>0</x:v>
      </x:c>
      <x:c r="K322" s="66" t="n">
        <x:v>64.594</x:v>
      </x:c>
      <x:c r="L322" s="66" t="n">
        <x:v>0.0203677471775969</x:v>
      </x:c>
      <x:c r="M322" s="66" t="n">
        <x:v>0.00140744543202637</x:v>
      </x:c>
      <x:c r="N322" s="66" t="n">
        <x:v>-0.00806780921037697</x:v>
      </x:c>
      <x:c r="O322" s="66" t="n">
        <x:v>0.0202238423856504</x:v>
      </x:c>
      <x:c r="P322" s="66" t="n">
        <x:v>-0.00842204664591217</x:v>
      </x:c>
      <x:c r="Q322" s="66" t="n">
        <x:v>9.02002722588341e-9</x:v>
      </x:c>
      <x:c r="R322" s="66" t="str">
        <x:v>C:\Users\admin\.codex\.chatgpt-projects\g-p-6910508be2a081919b9cb5881a96c92b\overnight_refinement_2026-08-27\reports\321_21k_Mp1p45_Ap1_Op0p00001_ise_report.json</x:v>
      </x:c>
    </x:row>
    <x:row r="323">
      <x:c r="A323" s="66" t="str">
        <x:v>322_21k_Mp1p45_Ap1_Op0p0001_ise</x:v>
      </x:c>
      <x:c r="B323" s="66" t="str">
        <x:v>21k</x:v>
      </x:c>
      <x:c r="C323" s="66" t="n">
        <x:v>1.45</x:v>
      </x:c>
      <x:c r="D323" s="66" t="n">
        <x:v>1</x:v>
      </x:c>
      <x:c r="E323" s="66" t="n">
        <x:v>0.0001</x:v>
      </x:c>
      <x:c r="F323" s="66" t="str">
        <x:v>isentropic</x:v>
      </x:c>
      <x:c r="G323" s="66" t="str">
        <x:v>FQRUP</x:v>
      </x:c>
      <x:c r="H323" s="66" t="str">
        <x:v>OK</x:v>
      </x:c>
      <x:c r="I323" s="66" t="n">
        <x:v>1</x:v>
      </x:c>
      <x:c r="J323" s="66" t="n">
        <x:v>0</x:v>
      </x:c>
      <x:c r="K323" s="66" t="n">
        <x:v>64.704</x:v>
      </x:c>
      <x:c r="L323" s="66" t="n">
        <x:v>0.0203714099012978</x:v>
      </x:c>
      <x:c r="M323" s="66" t="n">
        <x:v>0.00140395680067327</x:v>
      </x:c>
      <x:c r="N323" s="66" t="n">
        <x:v>-0.00807752631693205</x:v>
      </x:c>
      <x:c r="O323" s="66" t="n">
        <x:v>0.0202273349646077</x:v>
      </x:c>
      <x:c r="P323" s="66" t="n">
        <x:v>-0.00843182619584756</x:v>
      </x:c>
      <x:c r="Q323" s="66" t="n">
        <x:v>9.03243736509667e-8</x:v>
      </x:c>
      <x:c r="R323" s="66" t="str">
        <x:v>C:\Users\admin\.codex\.chatgpt-projects\g-p-6910508be2a081919b9cb5881a96c92b\overnight_refinement_2026-08-27\reports\322_21k_Mp1p45_Ap1_Op0p0001_ise_report.json</x:v>
      </x:c>
    </x:row>
    <x:row r="324">
      <x:c r="A324" s="66" t="str">
        <x:v>323_21k_Mp1p45_Ap2_Op0p00001_ise</x:v>
      </x:c>
      <x:c r="B324" s="66" t="str">
        <x:v>21k</x:v>
      </x:c>
      <x:c r="C324" s="66" t="n">
        <x:v>1.45</x:v>
      </x:c>
      <x:c r="D324" s="66" t="n">
        <x:v>2</x:v>
      </x:c>
      <x:c r="E324" s="66" t="n">
        <x:v>0.00001</x:v>
      </x:c>
      <x:c r="F324" s="66" t="str">
        <x:v>isentropic</x:v>
      </x:c>
      <x:c r="G324" s="66" t="str">
        <x:v>FQRUP</x:v>
      </x:c>
      <x:c r="H324" s="66" t="str">
        <x:v>OK</x:v>
      </x:c>
      <x:c r="I324" s="66" t="n">
        <x:v>1</x:v>
      </x:c>
      <x:c r="J324" s="66" t="n">
        <x:v>0</x:v>
      </x:c>
      <x:c r="K324" s="66" t="n">
        <x:v>64.984</x:v>
      </x:c>
      <x:c r="L324" s="66" t="n">
        <x:v>0.0192197973896165</x:v>
      </x:c>
      <x:c r="M324" s="66" t="n">
        <x:v>0.00195465751798623</x:v>
      </x:c>
      <x:c r="N324" s="66" t="n">
        <x:v>-0.00243319306686082</x:v>
      </x:c>
      <x:c r="O324" s="66" t="n">
        <x:v>0.0191231719949348</x:v>
      </x:c>
      <x:c r="P324" s="66" t="n">
        <x:v>-0.00310247208700882</x:v>
      </x:c>
      <x:c r="Q324" s="66" t="n">
        <x:v>9.1855306814858e-9</x:v>
      </x:c>
      <x:c r="R324" s="66" t="str">
        <x:v>C:\Users\admin\.codex\.chatgpt-projects\g-p-6910508be2a081919b9cb5881a96c92b\overnight_refinement_2026-08-27\reports\323_21k_Mp1p45_Ap2_Op0p00001_ise_report.json</x:v>
      </x:c>
    </x:row>
    <x:row r="325">
      <x:c r="A325" s="66" t="str">
        <x:v>324_21k_Mp1p45_Ap2_Op0p0001_ise</x:v>
      </x:c>
      <x:c r="B325" s="66" t="str">
        <x:v>21k</x:v>
      </x:c>
      <x:c r="C325" s="66" t="n">
        <x:v>1.45</x:v>
      </x:c>
      <x:c r="D325" s="66" t="n">
        <x:v>2</x:v>
      </x:c>
      <x:c r="E325" s="66" t="n">
        <x:v>0.0001</x:v>
      </x:c>
      <x:c r="F325" s="66" t="str">
        <x:v>isentropic</x:v>
      </x:c>
      <x:c r="G325" s="66" t="str">
        <x:v>FQRUP</x:v>
      </x:c>
      <x:c r="H325" s="66" t="str">
        <x:v>OK</x:v>
      </x:c>
      <x:c r="I325" s="66" t="n">
        <x:v>1</x:v>
      </x:c>
      <x:c r="J325" s="66" t="n">
        <x:v>0</x:v>
      </x:c>
      <x:c r="K325" s="66" t="n">
        <x:v>65.719</x:v>
      </x:c>
      <x:c r="L325" s="66" t="n">
        <x:v>0.0192230249022629</x:v>
      </x:c>
      <x:c r="M325" s="66" t="n">
        <x:v>0.0019506556520587</x:v>
      </x:c>
      <x:c r="N325" s="66" t="n">
        <x:v>-0.00244935922213106</x:v>
      </x:c>
      <x:c r="O325" s="66" t="n">
        <x:v>0.0191258333507852</x:v>
      </x:c>
      <x:c r="P325" s="66" t="n">
        <x:v>-0.00311874103286103</x:v>
      </x:c>
      <x:c r="Q325" s="66" t="n">
        <x:v>9.19867058243214e-8</x:v>
      </x:c>
      <x:c r="R325" s="66" t="str">
        <x:v>C:\Users\admin\.codex\.chatgpt-projects\g-p-6910508be2a081919b9cb5881a96c92b\overnight_refinement_2026-08-27\reports\324_21k_Mp1p45_Ap2_Op0p0001_ise_report.json</x:v>
      </x:c>
    </x:row>
    <x:row r="326">
      <x:c r="A326" s="66" t="str">
        <x:v>325_21k_Mp1p45_Ap3_Op0p00001_ise</x:v>
      </x:c>
      <x:c r="B326" s="66" t="str">
        <x:v>21k</x:v>
      </x:c>
      <x:c r="C326" s="66" t="n">
        <x:v>1.45</x:v>
      </x:c>
      <x:c r="D326" s="66" t="n">
        <x:v>3</x:v>
      </x:c>
      <x:c r="E326" s="66" t="n">
        <x:v>0.00001</x:v>
      </x:c>
      <x:c r="F326" s="66" t="str">
        <x:v>isentropic</x:v>
      </x:c>
      <x:c r="G326" s="66" t="str">
        <x:v>FQRUP</x:v>
      </x:c>
      <x:c r="H326" s="66" t="str">
        <x:v>OK</x:v>
      </x:c>
      <x:c r="I326" s="66" t="n">
        <x:v>1</x:v>
      </x:c>
      <x:c r="J326" s="66" t="n">
        <x:v>0</x:v>
      </x:c>
      <x:c r="K326" s="66" t="n">
        <x:v>65.266</x:v>
      </x:c>
      <x:c r="L326" s="66" t="n">
        <x:v>0.0178561900937326</x:v>
      </x:c>
      <x:c r="M326" s="66" t="n">
        <x:v>0.00469536654925224</x:v>
      </x:c>
      <x:c r="N326" s="66" t="n">
        <x:v>0.0210413552917209</x:v>
      </x:c>
      <x:c r="O326" s="66" t="n">
        <x:v>0.0189329382556332</x:v>
      </x:c>
      <x:c r="P326" s="66" t="n">
        <x:v>0.0200779980621657</x:v>
      </x:c>
      <x:c r="Q326" s="66" t="n">
        <x:v>9.14363378568091e-9</x:v>
      </x:c>
      <x:c r="R326" s="66" t="str">
        <x:v>C:\Users\admin\.codex\.chatgpt-projects\g-p-6910508be2a081919b9cb5881a96c92b\overnight_refinement_2026-08-27\reports\325_21k_Mp1p45_Ap3_Op0p00001_ise_report.json</x:v>
      </x:c>
    </x:row>
    <x:row r="327">
      <x:c r="A327" s="66" t="str">
        <x:v>326_21k_Mp1p45_Ap3_Op0p0001_ise</x:v>
      </x:c>
      <x:c r="B327" s="66" t="str">
        <x:v>21k</x:v>
      </x:c>
      <x:c r="C327" s="66" t="n">
        <x:v>1.45</x:v>
      </x:c>
      <x:c r="D327" s="66" t="n">
        <x:v>3</x:v>
      </x:c>
      <x:c r="E327" s="66" t="n">
        <x:v>0.0001</x:v>
      </x:c>
      <x:c r="F327" s="66" t="str">
        <x:v>isentropic</x:v>
      </x:c>
      <x:c r="G327" s="66" t="str">
        <x:v>FQRUP</x:v>
      </x:c>
      <x:c r="H327" s="66" t="str">
        <x:v>OK</x:v>
      </x:c>
      <x:c r="I327" s="66" t="n">
        <x:v>1</x:v>
      </x:c>
      <x:c r="J327" s="66" t="n">
        <x:v>0</x:v>
      </x:c>
      <x:c r="K327" s="66" t="n">
        <x:v>66.094</x:v>
      </x:c>
      <x:c r="L327" s="66" t="n">
        <x:v>0.0178574531159376</x:v>
      </x:c>
      <x:c r="M327" s="66" t="n">
        <x:v>0.00470324066285923</x:v>
      </x:c>
      <x:c r="N327" s="66" t="n">
        <x:v>0.0210247670239829</x:v>
      </x:c>
      <x:c r="O327" s="66" t="n">
        <x:v>0.0189333313840556</x:v>
      </x:c>
      <x:c r="P327" s="66" t="n">
        <x:v>0.0200613664265972</x:v>
      </x:c>
      <x:c r="Q327" s="66" t="n">
        <x:v>9.15847538091928e-8</x:v>
      </x:c>
      <x:c r="R327" s="66" t="str">
        <x:v>C:\Users\admin\.codex\.chatgpt-projects\g-p-6910508be2a081919b9cb5881a96c92b\overnight_refinement_2026-08-27\reports\326_21k_Mp1p45_Ap3_Op0p0001_ise_report.json</x:v>
      </x:c>
    </x:row>
    <x:row r="328">
      <x:c r="A328" s="66" t="str">
        <x:v>327_21k_Mp1p45_Ap4_Op0p00001_ise</x:v>
      </x:c>
      <x:c r="B328" s="66" t="str">
        <x:v>21k</x:v>
      </x:c>
      <x:c r="C328" s="66" t="n">
        <x:v>1.45</x:v>
      </x:c>
      <x:c r="D328" s="66" t="n">
        <x:v>4</x:v>
      </x:c>
      <x:c r="E328" s="66" t="n">
        <x:v>0.00001</x:v>
      </x:c>
      <x:c r="F328" s="66" t="str">
        <x:v>isentropic</x:v>
      </x:c>
      <x:c r="G328" s="66" t="str">
        <x:v>FQRUP</x:v>
      </x:c>
      <x:c r="H328" s="66" t="str">
        <x:v>OK</x:v>
      </x:c>
      <x:c r="I328" s="66" t="n">
        <x:v>1</x:v>
      </x:c>
      <x:c r="J328" s="66" t="n">
        <x:v>0</x:v>
      </x:c>
      <x:c r="K328" s="66" t="n">
        <x:v>66.281</x:v>
      </x:c>
      <x:c r="L328" s="66" t="n">
        <x:v>0.0176949904818307</x:v>
      </x:c>
      <x:c r="M328" s="66" t="n">
        <x:v>0.0130388456509383</x:v>
      </x:c>
      <x:c r="N328" s="66" t="n">
        <x:v>0.056988316963964</x:v>
      </x:c>
      <x:c r="O328" s="66" t="n">
        <x:v>0.0216271904103827</x:v>
      </x:c>
      <x:c r="P328" s="66" t="n">
        <x:v>0.0556151561491142</x:v>
      </x:c>
      <x:c r="Q328" s="66" t="n">
        <x:v>9.20872682110518e-9</x:v>
      </x:c>
      <x:c r="R328" s="66" t="str">
        <x:v>C:\Users\admin\.codex\.chatgpt-projects\g-p-6910508be2a081919b9cb5881a96c92b\overnight_refinement_2026-08-27\reports\327_21k_Mp1p45_Ap4_Op0p00001_ise_report.json</x:v>
      </x:c>
    </x:row>
    <x:row r="329">
      <x:c r="A329" s="66" t="str">
        <x:v>328_21k_Mp1p45_Ap4_Op0p0001_ise</x:v>
      </x:c>
      <x:c r="B329" s="66" t="str">
        <x:v>21k</x:v>
      </x:c>
      <x:c r="C329" s="66" t="n">
        <x:v>1.45</x:v>
      </x:c>
      <x:c r="D329" s="66" t="n">
        <x:v>4</x:v>
      </x:c>
      <x:c r="E329" s="66" t="n">
        <x:v>0.0001</x:v>
      </x:c>
      <x:c r="F329" s="66" t="str">
        <x:v>isentropic</x:v>
      </x:c>
      <x:c r="G329" s="66" t="str">
        <x:v>FQRUP</x:v>
      </x:c>
      <x:c r="H329" s="66" t="str">
        <x:v>OK</x:v>
      </x:c>
      <x:c r="I329" s="66" t="n">
        <x:v>1</x:v>
      </x:c>
      <x:c r="J329" s="66" t="n">
        <x:v>0</x:v>
      </x:c>
      <x:c r="K329" s="66" t="n">
        <x:v>66.157</x:v>
      </x:c>
      <x:c r="L329" s="66" t="n">
        <x:v>0.0176950465121447</x:v>
      </x:c>
      <x:c r="M329" s="66" t="n">
        <x:v>0.0130434147371135</x:v>
      </x:c>
      <x:c r="N329" s="66" t="n">
        <x:v>0.0569633561625223</x:v>
      </x:c>
      <x:c r="O329" s="66" t="n">
        <x:v>0.0216255051267193</x:v>
      </x:c>
      <x:c r="P329" s="66" t="n">
        <x:v>0.0555902522424532</x:v>
      </x:c>
      <x:c r="Q329" s="66" t="n">
        <x:v>9.22317140958694e-8</x:v>
      </x:c>
      <x:c r="R329" s="66" t="str">
        <x:v>C:\Users\admin\.codex\.chatgpt-projects\g-p-6910508be2a081919b9cb5881a96c92b\overnight_refinement_2026-08-27\reports\328_21k_Mp1p45_Ap4_Op0p0001_ise_report.json</x:v>
      </x:c>
    </x:row>
    <x:row r="330">
      <x:c r="A330" s="66" t="str">
        <x:v>329_21k_Mp1p5_Am2_Op0p00001_ise</x:v>
      </x:c>
      <x:c r="B330" s="66" t="str">
        <x:v>21k</x:v>
      </x:c>
      <x:c r="C330" s="66" t="n">
        <x:v>1.5</x:v>
      </x:c>
      <x:c r="D330" s="66" t="n">
        <x:v>-2</x:v>
      </x:c>
      <x:c r="E330" s="66" t="n">
        <x:v>0.00001</x:v>
      </x:c>
      <x:c r="F330" s="66" t="str">
        <x:v>isentropic</x:v>
      </x:c>
      <x:c r="G330" s="66" t="str">
        <x:v>FQRUP</x:v>
      </x:c>
      <x:c r="H330" s="66" t="str">
        <x:v>OK</x:v>
      </x:c>
      <x:c r="I330" s="66" t="n">
        <x:v>1</x:v>
      </x:c>
      <x:c r="J330" s="66" t="n">
        <x:v>0</x:v>
      </x:c>
      <x:c r="K330" s="66" t="n">
        <x:v>60.094</x:v>
      </x:c>
      <x:c r="L330" s="66" t="n">
        <x:v>0.0270687500190812</x:v>
      </x:c>
      <x:c r="M330" s="66" t="n">
        <x:v>-0.03388015482206</x:v>
      </x:c>
      <x:c r="N330" s="66" t="n">
        <x:v>0.0253843973275072</x:v>
      </x:c>
      <x:c r="O330" s="66" t="n">
        <x:v>0.0261663577771164</x:v>
      </x:c>
      <x:c r="P330" s="66" t="n">
        <x:v>0.0263136195905505</x:v>
      </x:c>
      <x:c r="Q330" s="66" t="n">
        <x:v>8.1655583131223e-9</x:v>
      </x:c>
      <x:c r="R330" s="66" t="str">
        <x:v>C:\Users\admin\.codex\.chatgpt-projects\g-p-6910508be2a081919b9cb5881a96c92b\overnight_refinement_2026-08-27\reports\329_21k_Mp1p5_Am2_Op0p00001_ise_report.json</x:v>
      </x:c>
    </x:row>
    <x:row r="331">
      <x:c r="A331" s="66" t="str">
        <x:v>330_21k_Mp1p5_Am2_Op0p0001_ise</x:v>
      </x:c>
      <x:c r="B331" s="66" t="str">
        <x:v>21k</x:v>
      </x:c>
      <x:c r="C331" s="66" t="n">
        <x:v>1.5</x:v>
      </x:c>
      <x:c r="D331" s="66" t="n">
        <x:v>-2</x:v>
      </x:c>
      <x:c r="E331" s="66" t="n">
        <x:v>0.0001</x:v>
      </x:c>
      <x:c r="F331" s="66" t="str">
        <x:v>isentropic</x:v>
      </x:c>
      <x:c r="G331" s="66" t="str">
        <x:v>FQRUP</x:v>
      </x:c>
      <x:c r="H331" s="66" t="str">
        <x:v>OK</x:v>
      </x:c>
      <x:c r="I331" s="66" t="n">
        <x:v>1</x:v>
      </x:c>
      <x:c r="J331" s="66" t="n">
        <x:v>0</x:v>
      </x:c>
      <x:c r="K331" s="66" t="n">
        <x:v>60.312</x:v>
      </x:c>
      <x:c r="L331" s="66" t="n">
        <x:v>0.0250474691739475</x:v>
      </x:c>
      <x:c r="M331" s="66" t="n">
        <x:v>-0.0356727194686497</x:v>
      </x:c>
      <x:c r="N331" s="66" t="n">
        <x:v>0.0304516205130355</x:v>
      </x:c>
      <x:c r="O331" s="66" t="n">
        <x:v>0.0239694647028062</x:v>
      </x:c>
      <x:c r="P331" s="66" t="n">
        <x:v>0.0313072142764364</x:v>
      </x:c>
      <x:c r="Q331" s="66" t="n">
        <x:v>8.19024619969082e-8</x:v>
      </x:c>
      <x:c r="R331" s="66" t="str">
        <x:v>C:\Users\admin\.codex\.chatgpt-projects\g-p-6910508be2a081919b9cb5881a96c92b\overnight_refinement_2026-08-27\reports\330_21k_Mp1p5_Am2_Op0p0001_ise_report.json</x:v>
      </x:c>
    </x:row>
    <x:row r="332">
      <x:c r="A332" s="66" t="str">
        <x:v>331_21k_Mp1p5_Am1_Op0p00001_ise</x:v>
      </x:c>
      <x:c r="B332" s="66" t="str">
        <x:v>21k</x:v>
      </x:c>
      <x:c r="C332" s="66" t="n">
        <x:v>1.5</x:v>
      </x:c>
      <x:c r="D332" s="66" t="n">
        <x:v>-1</x:v>
      </x:c>
      <x:c r="E332" s="66" t="n">
        <x:v>0.00001</x:v>
      </x:c>
      <x:c r="F332" s="66" t="str">
        <x:v>isentropic</x:v>
      </x:c>
      <x:c r="G332" s="66" t="str">
        <x:v>FQRUP</x:v>
      </x:c>
      <x:c r="H332" s="66" t="str">
        <x:v>OK</x:v>
      </x:c>
      <x:c r="I332" s="66" t="n">
        <x:v>1</x:v>
      </x:c>
      <x:c r="J332" s="66" t="n">
        <x:v>0</x:v>
      </x:c>
      <x:c r="K332" s="66" t="n">
        <x:v>59.437</x:v>
      </x:c>
      <x:c r="L332" s="66" t="n">
        <x:v>0.0169935678150365</x:v>
      </x:c>
      <x:c r="M332" s="66" t="n">
        <x:v>-0.00000711783705652316</x:v>
      </x:c>
      <x:c r="N332" s="66" t="n">
        <x:v>0.017022369405949</x:v>
      </x:c>
      <x:c r="O332" s="66" t="n">
        <x:v>0.0166938983029499</x:v>
      </x:c>
      <x:c r="P332" s="66" t="n">
        <x:v>0.0173163554689663</x:v>
      </x:c>
      <x:c r="Q332" s="66" t="n">
        <x:v>8.1047158962744e-9</x:v>
      </x:c>
      <x:c r="R332" s="66" t="str">
        <x:v>C:\Users\admin\.codex\.chatgpt-projects\g-p-6910508be2a081919b9cb5881a96c92b\overnight_refinement_2026-08-27\reports\331_21k_Mp1p5_Am1_Op0p00001_ise_report.json</x:v>
      </x:c>
    </x:row>
    <x:row r="333">
      <x:c r="A333" s="66" t="str">
        <x:v>332_21k_Mp1p5_Am1_Op0p0001_ise</x:v>
      </x:c>
      <x:c r="B333" s="66" t="str">
        <x:v>21k</x:v>
      </x:c>
      <x:c r="C333" s="66" t="n">
        <x:v>1.5</x:v>
      </x:c>
      <x:c r="D333" s="66" t="n">
        <x:v>-1</x:v>
      </x:c>
      <x:c r="E333" s="66" t="n">
        <x:v>0.0001</x:v>
      </x:c>
      <x:c r="F333" s="66" t="str">
        <x:v>isentropic</x:v>
      </x:c>
      <x:c r="G333" s="66" t="str">
        <x:v>FQRUP</x:v>
      </x:c>
      <x:c r="H333" s="66" t="str">
        <x:v>OK</x:v>
      </x:c>
      <x:c r="I333" s="66" t="n">
        <x:v>1</x:v>
      </x:c>
      <x:c r="J333" s="66" t="n">
        <x:v>0</x:v>
      </x:c>
      <x:c r="K333" s="66" t="n">
        <x:v>60.953</x:v>
      </x:c>
      <x:c r="L333" s="66" t="n">
        <x:v>0.0169995213145811</x:v>
      </x:c>
      <x:c r="M333" s="66" t="n">
        <x:v>-0.00000721477069997086</x:v>
      </x:c>
      <x:c r="N333" s="66" t="n">
        <x:v>0.0170058091905452</x:v>
      </x:c>
      <x:c r="O333" s="66" t="n">
        <x:v>0.0167001399113576</x:v>
      </x:c>
      <x:c r="P333" s="66" t="n">
        <x:v>0.0172999016786573</x:v>
      </x:c>
      <x:c r="Q333" s="66" t="n">
        <x:v>8.12769391514932e-8</x:v>
      </x:c>
      <x:c r="R333" s="66" t="str">
        <x:v>C:\Users\admin\.codex\.chatgpt-projects\g-p-6910508be2a081919b9cb5881a96c92b\overnight_refinement_2026-08-27\reports\332_21k_Mp1p5_Am1_Op0p0001_ise_report.json</x:v>
      </x:c>
    </x:row>
    <x:row r="334">
      <x:c r="A334" s="66" t="str">
        <x:v>333_21k_Mp1p5_Ap0_Op0p00001_ise</x:v>
      </x:c>
      <x:c r="B334" s="66" t="str">
        <x:v>21k</x:v>
      </x:c>
      <x:c r="C334" s="66" t="n">
        <x:v>1.5</x:v>
      </x:c>
      <x:c r="D334" s="66" t="n">
        <x:v>0</x:v>
      </x:c>
      <x:c r="E334" s="66" t="n">
        <x:v>0.00001</x:v>
      </x:c>
      <x:c r="F334" s="66" t="str">
        <x:v>isentropic</x:v>
      </x:c>
      <x:c r="G334" s="66" t="str">
        <x:v>FQRUP</x:v>
      </x:c>
      <x:c r="H334" s="66" t="str">
        <x:v>OK</x:v>
      </x:c>
      <x:c r="I334" s="66" t="n">
        <x:v>1</x:v>
      </x:c>
      <x:c r="J334" s="66" t="n">
        <x:v>0</x:v>
      </x:c>
      <x:c r="K334" s="66" t="n">
        <x:v>59.468</x:v>
      </x:c>
      <x:c r="L334" s="66" t="n">
        <x:v>0.0170281518042389</x:v>
      </x:c>
      <x:c r="M334" s="66" t="n">
        <x:v>-0.000220050546254402</x:v>
      </x:c>
      <x:c r="N334" s="66" t="n">
        <x:v>0.0102689792384278</x:v>
      </x:c>
      <x:c r="O334" s="66" t="n">
        <x:v>0.0170281518042389</x:v>
      </x:c>
      <x:c r="P334" s="66" t="n">
        <x:v>0.0102689792384278</x:v>
      </x:c>
      <x:c r="Q334" s="66" t="n">
        <x:v>8.89683895387988e-9</x:v>
      </x:c>
      <x:c r="R334" s="66" t="str">
        <x:v>C:\Users\admin\.codex\.chatgpt-projects\g-p-6910508be2a081919b9cb5881a96c92b\overnight_refinement_2026-08-27\reports\333_21k_Mp1p5_Ap0_Op0p00001_ise_report.json</x:v>
      </x:c>
    </x:row>
    <x:row r="335">
      <x:c r="A335" s="66" t="str">
        <x:v>334_21k_Mp1p5_Ap0_Op0p0001_ise</x:v>
      </x:c>
      <x:c r="B335" s="66" t="str">
        <x:v>21k</x:v>
      </x:c>
      <x:c r="C335" s="66" t="n">
        <x:v>1.5</x:v>
      </x:c>
      <x:c r="D335" s="66" t="n">
        <x:v>0</x:v>
      </x:c>
      <x:c r="E335" s="66" t="n">
        <x:v>0.0001</x:v>
      </x:c>
      <x:c r="F335" s="66" t="str">
        <x:v>isentropic</x:v>
      </x:c>
      <x:c r="G335" s="66" t="str">
        <x:v>FQRUP</x:v>
      </x:c>
      <x:c r="H335" s="66" t="str">
        <x:v>OK</x:v>
      </x:c>
      <x:c r="I335" s="66" t="n">
        <x:v>1</x:v>
      </x:c>
      <x:c r="J335" s="66" t="n">
        <x:v>0</x:v>
      </x:c>
      <x:c r="K335" s="66" t="n">
        <x:v>60.375</x:v>
      </x:c>
      <x:c r="L335" s="66" t="n">
        <x:v>0.0170375579736774</x:v>
      </x:c>
      <x:c r="M335" s="66" t="n">
        <x:v>-0.000222902685096819</x:v>
      </x:c>
      <x:c r="N335" s="66" t="n">
        <x:v>0.0102667454082593</x:v>
      </x:c>
      <x:c r="O335" s="66" t="n">
        <x:v>0.0170375579736774</x:v>
      </x:c>
      <x:c r="P335" s="66" t="n">
        <x:v>0.0102667454082593</x:v>
      </x:c>
      <x:c r="Q335" s="66" t="n">
        <x:v>8.908095762367e-8</x:v>
      </x:c>
      <x:c r="R335" s="66" t="str">
        <x:v>C:\Users\admin\.codex\.chatgpt-projects\g-p-6910508be2a081919b9cb5881a96c92b\overnight_refinement_2026-08-27\reports\334_21k_Mp1p5_Ap0_Op0p0001_ise_report.json</x:v>
      </x:c>
    </x:row>
    <x:row r="336">
      <x:c r="A336" s="66" t="str">
        <x:v>335_21k_Mp1p5_Ap1_Op0p00001_ise</x:v>
      </x:c>
      <x:c r="B336" s="66" t="str">
        <x:v>21k</x:v>
      </x:c>
      <x:c r="C336" s="66" t="n">
        <x:v>1.5</x:v>
      </x:c>
      <x:c r="D336" s="66" t="n">
        <x:v>1</x:v>
      </x:c>
      <x:c r="E336" s="66" t="n">
        <x:v>0.00001</x:v>
      </x:c>
      <x:c r="F336" s="66" t="str">
        <x:v>isentropic</x:v>
      </x:c>
      <x:c r="G336" s="66" t="str">
        <x:v>FQRUP</x:v>
      </x:c>
      <x:c r="H336" s="66" t="str">
        <x:v>OK</x:v>
      </x:c>
      <x:c r="I336" s="66" t="n">
        <x:v>1</x:v>
      </x:c>
      <x:c r="J336" s="66" t="n">
        <x:v>0</x:v>
      </x:c>
      <x:c r="K336" s="66" t="n">
        <x:v>59.86</x:v>
      </x:c>
      <x:c r="L336" s="66" t="n">
        <x:v>0.0184196783160354</x:v>
      </x:c>
      <x:c r="M336" s="66" t="n">
        <x:v>0.0011918016054286</x:v>
      </x:c>
      <x:c r="N336" s="66" t="n">
        <x:v>0.00343757442639393</x:v>
      </x:c>
      <x:c r="O336" s="66" t="n">
        <x:v>0.018476866855858</x:v>
      </x:c>
      <x:c r="P336" s="66" t="n">
        <x:v>0.00311558315474306</x:v>
      </x:c>
      <x:c r="Q336" s="66" t="n">
        <x:v>8.65740824304717e-9</x:v>
      </x:c>
      <x:c r="R336" s="66" t="str">
        <x:v>C:\Users\admin\.codex\.chatgpt-projects\g-p-6910508be2a081919b9cb5881a96c92b\overnight_refinement_2026-08-27\reports\335_21k_Mp1p5_Ap1_Op0p00001_ise_report.json</x:v>
      </x:c>
    </x:row>
    <x:row r="337">
      <x:c r="A337" s="66" t="str">
        <x:v>336_21k_Mp1p5_Ap1_Op0p0001_ise</x:v>
      </x:c>
      <x:c r="B337" s="66" t="str">
        <x:v>21k</x:v>
      </x:c>
      <x:c r="C337" s="66" t="n">
        <x:v>1.5</x:v>
      </x:c>
      <x:c r="D337" s="66" t="n">
        <x:v>1</x:v>
      </x:c>
      <x:c r="E337" s="66" t="n">
        <x:v>0.0001</x:v>
      </x:c>
      <x:c r="F337" s="66" t="str">
        <x:v>isentropic</x:v>
      </x:c>
      <x:c r="G337" s="66" t="str">
        <x:v>FQRUP</x:v>
      </x:c>
      <x:c r="H337" s="66" t="str">
        <x:v>OK</x:v>
      </x:c>
      <x:c r="I337" s="66" t="n">
        <x:v>1</x:v>
      </x:c>
      <x:c r="J337" s="66" t="n">
        <x:v>0</x:v>
      </x:c>
      <x:c r="K337" s="66" t="n">
        <x:v>60.328</x:v>
      </x:c>
      <x:c r="L337" s="66" t="n">
        <x:v>0.0184434562930353</x:v>
      </x:c>
      <x:c r="M337" s="66" t="n">
        <x:v>0.00118947009609712</x:v>
      </x:c>
      <x:c r="N337" s="66" t="n">
        <x:v>0.00342042322845267</x:v>
      </x:c>
      <x:c r="O337" s="66" t="n">
        <x:v>0.0185003418816795</x:v>
      </x:c>
      <x:c r="P337" s="66" t="n">
        <x:v>0.00309801958609346</x:v>
      </x:c>
      <x:c r="Q337" s="66" t="n">
        <x:v>8.67276788078796e-8</x:v>
      </x:c>
      <x:c r="R337" s="66" t="str">
        <x:v>C:\Users\admin\.codex\.chatgpt-projects\g-p-6910508be2a081919b9cb5881a96c92b\overnight_refinement_2026-08-27\reports\336_21k_Mp1p5_Ap1_Op0p0001_ise_report.json</x:v>
      </x:c>
    </x:row>
    <x:row r="338">
      <x:c r="A338" s="66" t="str">
        <x:v>337_21k_Mp1p5_Ap2_Op0p00001_ise</x:v>
      </x:c>
      <x:c r="B338" s="66" t="str">
        <x:v>21k</x:v>
      </x:c>
      <x:c r="C338" s="66" t="n">
        <x:v>1.5</x:v>
      </x:c>
      <x:c r="D338" s="66" t="n">
        <x:v>2</x:v>
      </x:c>
      <x:c r="E338" s="66" t="n">
        <x:v>0.00001</x:v>
      </x:c>
      <x:c r="F338" s="66" t="str">
        <x:v>isentropic</x:v>
      </x:c>
      <x:c r="G338" s="66" t="str">
        <x:v>FQRUP</x:v>
      </x:c>
      <x:c r="H338" s="66" t="str">
        <x:v>OK</x:v>
      </x:c>
      <x:c r="I338" s="66" t="n">
        <x:v>1</x:v>
      </x:c>
      <x:c r="J338" s="66" t="n">
        <x:v>0</x:v>
      </x:c>
      <x:c r="K338" s="66" t="n">
        <x:v>59.969</x:v>
      </x:c>
      <x:c r="L338" s="66" t="n">
        <x:v>0.0193268123595576</x:v>
      </x:c>
      <x:c r="M338" s="66" t="n">
        <x:v>0.00301419687419301</x:v>
      </x:c>
      <x:c r="N338" s="66" t="n">
        <x:v>0.006554796587366</x:v>
      </x:c>
      <x:c r="O338" s="66" t="n">
        <x:v>0.0195437980895475</x:v>
      </x:c>
      <x:c r="P338" s="66" t="n">
        <x:v>0.00587630755817742</x:v>
      </x:c>
      <x:c r="Q338" s="66" t="n">
        <x:v>8.57780416653619e-9</x:v>
      </x:c>
      <x:c r="R338" s="66" t="str">
        <x:v>C:\Users\admin\.codex\.chatgpt-projects\g-p-6910508be2a081919b9cb5881a96c92b\overnight_refinement_2026-08-27\reports\337_21k_Mp1p5_Ap2_Op0p00001_ise_report.json</x:v>
      </x:c>
    </x:row>
    <x:row r="339">
      <x:c r="A339" s="66" t="str">
        <x:v>338_21k_Mp1p5_Ap2_Op0p0001_ise</x:v>
      </x:c>
      <x:c r="B339" s="66" t="str">
        <x:v>21k</x:v>
      </x:c>
      <x:c r="C339" s="66" t="n">
        <x:v>1.5</x:v>
      </x:c>
      <x:c r="D339" s="66" t="n">
        <x:v>2</x:v>
      </x:c>
      <x:c r="E339" s="66" t="n">
        <x:v>0.0001</x:v>
      </x:c>
      <x:c r="F339" s="66" t="str">
        <x:v>isentropic</x:v>
      </x:c>
      <x:c r="G339" s="66" t="str">
        <x:v>FQRUP</x:v>
      </x:c>
      <x:c r="H339" s="66" t="str">
        <x:v>OK</x:v>
      </x:c>
      <x:c r="I339" s="66" t="n">
        <x:v>1</x:v>
      </x:c>
      <x:c r="J339" s="66" t="n">
        <x:v>0</x:v>
      </x:c>
      <x:c r="K339" s="66" t="n">
        <x:v>61.375</x:v>
      </x:c>
      <x:c r="L339" s="66" t="n">
        <x:v>0.0193338605643914</x:v>
      </x:c>
      <x:c r="M339" s="66" t="n">
        <x:v>0.00296008969208544</x:v>
      </x:c>
      <x:c r="N339" s="66" t="n">
        <x:v>0.00660034563386197</x:v>
      </x:c>
      <x:c r="O339" s="66" t="n">
        <x:v>0.0195524316396033</x:v>
      </x:c>
      <x:c r="P339" s="66" t="n">
        <x:v>0.0059215828786236</x:v>
      </x:c>
      <x:c r="Q339" s="66" t="n">
        <x:v>8.59650745126745e-8</x:v>
      </x:c>
      <x:c r="R339" s="66" t="str">
        <x:v>C:\Users\admin\.codex\.chatgpt-projects\g-p-6910508be2a081919b9cb5881a96c92b\overnight_refinement_2026-08-27\reports\338_21k_Mp1p5_Ap2_Op0p0001_ise_report.json</x:v>
      </x:c>
    </x:row>
    <x:row r="340">
      <x:c r="A340" s="66" t="str">
        <x:v>339_21k_Mp1p5_Ap3_Op0p00001_ise</x:v>
      </x:c>
      <x:c r="B340" s="66" t="str">
        <x:v>21k</x:v>
      </x:c>
      <x:c r="C340" s="66" t="n">
        <x:v>1.5</x:v>
      </x:c>
      <x:c r="D340" s="66" t="n">
        <x:v>3</x:v>
      </x:c>
      <x:c r="E340" s="66" t="n">
        <x:v>0.00001</x:v>
      </x:c>
      <x:c r="F340" s="66" t="str">
        <x:v>isentropic</x:v>
      </x:c>
      <x:c r="G340" s="66" t="str">
        <x:v>FQRUP</x:v>
      </x:c>
      <x:c r="H340" s="66" t="str">
        <x:v>OK</x:v>
      </x:c>
      <x:c r="I340" s="66" t="n">
        <x:v>1</x:v>
      </x:c>
      <x:c r="J340" s="66" t="n">
        <x:v>0</x:v>
      </x:c>
      <x:c r="K340" s="66" t="n">
        <x:v>59.938</x:v>
      </x:c>
      <x:c r="L340" s="66" t="n">
        <x:v>0.0289392282118705</x:v>
      </x:c>
      <x:c r="M340" s="66" t="n">
        <x:v>0.0467828654607271</x:v>
      </x:c>
      <x:c r="N340" s="66" t="n">
        <x:v>0.0979810229943119</x:v>
      </x:c>
      <x:c r="O340" s="66" t="n">
        <x:v>0.0340274985374459</x:v>
      </x:c>
      <x:c r="P340" s="66" t="n">
        <x:v>0.0963321812261859</x:v>
      </x:c>
      <x:c r="Q340" s="66" t="n">
        <x:v>8.74644577069685e-9</x:v>
      </x:c>
      <x:c r="R340" s="66" t="str">
        <x:v>C:\Users\admin\.codex\.chatgpt-projects\g-p-6910508be2a081919b9cb5881a96c92b\overnight_refinement_2026-08-27\reports\339_21k_Mp1p5_Ap3_Op0p00001_ise_report.json</x:v>
      </x:c>
    </x:row>
    <x:row r="341">
      <x:c r="A341" s="66" t="str">
        <x:v>340_21k_Mp1p5_Ap3_Op0p0001_ise</x:v>
      </x:c>
      <x:c r="B341" s="66" t="str">
        <x:v>21k</x:v>
      </x:c>
      <x:c r="C341" s="66" t="n">
        <x:v>1.5</x:v>
      </x:c>
      <x:c r="D341" s="66" t="n">
        <x:v>3</x:v>
      </x:c>
      <x:c r="E341" s="66" t="n">
        <x:v>0.0001</x:v>
      </x:c>
      <x:c r="F341" s="66" t="str">
        <x:v>isentropic</x:v>
      </x:c>
      <x:c r="G341" s="66" t="str">
        <x:v>FQRUP</x:v>
      </x:c>
      <x:c r="H341" s="66" t="str">
        <x:v>OK</x:v>
      </x:c>
      <x:c r="I341" s="66" t="n">
        <x:v>1</x:v>
      </x:c>
      <x:c r="J341" s="66" t="n">
        <x:v>0</x:v>
      </x:c>
      <x:c r="K341" s="66" t="n">
        <x:v>60.391</x:v>
      </x:c>
      <x:c r="L341" s="66" t="n">
        <x:v>0.0303173972666525</x:v>
      </x:c>
      <x:c r="M341" s="66" t="n">
        <x:v>0.052522429637951</x:v>
      </x:c>
      <x:c r="N341" s="66" t="n">
        <x:v>0.101088529460985</x:v>
      </x:c>
      <x:c r="O341" s="66" t="n">
        <x:v>0.0355664131819004</x:v>
      </x:c>
      <x:c r="P341" s="66" t="n">
        <x:v>0.0993633011679</x:v>
      </x:c>
      <x:c r="Q341" s="66" t="n">
        <x:v>8.64382602029663e-8</x:v>
      </x:c>
      <x:c r="R341" s="66" t="str">
        <x:v>C:\Users\admin\.codex\.chatgpt-projects\g-p-6910508be2a081919b9cb5881a96c92b\overnight_refinement_2026-08-27\reports\340_21k_Mp1p5_Ap3_Op0p0001_ise_report.json</x:v>
      </x:c>
    </x:row>
    <x:row r="342">
      <x:c r="A342" s="66" t="str">
        <x:v>341_21k_Mp1p55_Ap0_Op0p00001_ise</x:v>
      </x:c>
      <x:c r="B342" s="66" t="str">
        <x:v>21k</x:v>
      </x:c>
      <x:c r="C342" s="66" t="n">
        <x:v>1.55</x:v>
      </x:c>
      <x:c r="D342" s="66" t="n">
        <x:v>0</x:v>
      </x:c>
      <x:c r="E342" s="66" t="n">
        <x:v>0.00001</x:v>
      </x:c>
      <x:c r="F342" s="66" t="str">
        <x:v>isentropic</x:v>
      </x:c>
      <x:c r="G342" s="66" t="str">
        <x:v>FQRUP</x:v>
      </x:c>
      <x:c r="H342" s="66" t="str">
        <x:v>OK</x:v>
      </x:c>
      <x:c r="I342" s="66" t="n">
        <x:v>1</x:v>
      </x:c>
      <x:c r="J342" s="66" t="n">
        <x:v>0</x:v>
      </x:c>
      <x:c r="K342" s="66" t="n">
        <x:v>56.578</x:v>
      </x:c>
      <x:c r="L342" s="66" t="n">
        <x:v>0.02840596770868</x:v>
      </x:c>
      <x:c r="M342" s="66" t="n">
        <x:v>-0.0518030599004319</x:v>
      </x:c>
      <x:c r="N342" s="66" t="n">
        <x:v>0.0607246223302089</x:v>
      </x:c>
      <x:c r="O342" s="66" t="n">
        <x:v>0.02840596770868</x:v>
      </x:c>
      <x:c r="P342" s="66" t="n">
        <x:v>0.0607246223302089</x:v>
      </x:c>
      <x:c r="Q342" s="66" t="n">
        <x:v>8.31293213732688e-9</x:v>
      </x:c>
      <x:c r="R342" s="66" t="str">
        <x:v>C:\Users\admin\.codex\.chatgpt-projects\g-p-6910508be2a081919b9cb5881a96c92b\overnight_refinement_2026-08-27\reports\341_21k_Mp1p55_Ap0_Op0p00001_ise_report.json</x:v>
      </x:c>
    </x:row>
    <x:row r="343">
      <x:c r="A343" s="66" t="str">
        <x:v>342_21k_Mp1p55_Ap0_Op0p0001_ise</x:v>
      </x:c>
      <x:c r="B343" s="66" t="str">
        <x:v>21k</x:v>
      </x:c>
      <x:c r="C343" s="66" t="n">
        <x:v>1.55</x:v>
      </x:c>
      <x:c r="D343" s="66" t="n">
        <x:v>0</x:v>
      </x:c>
      <x:c r="E343" s="66" t="n">
        <x:v>0.0001</x:v>
      </x:c>
      <x:c r="F343" s="66" t="str">
        <x:v>isentropic</x:v>
      </x:c>
      <x:c r="G343" s="66" t="str">
        <x:v>FQRUP</x:v>
      </x:c>
      <x:c r="H343" s="66" t="str">
        <x:v>OK</x:v>
      </x:c>
      <x:c r="I343" s="66" t="n">
        <x:v>1</x:v>
      </x:c>
      <x:c r="J343" s="66" t="n">
        <x:v>0</x:v>
      </x:c>
      <x:c r="K343" s="66" t="n">
        <x:v>56.781</x:v>
      </x:c>
      <x:c r="L343" s="66" t="n">
        <x:v>0.0176343539273504</x:v>
      </x:c>
      <x:c r="M343" s="66" t="n">
        <x:v>-0.0677573925739245</x:v>
      </x:c>
      <x:c r="N343" s="66" t="n">
        <x:v>0.141581180082305</x:v>
      </x:c>
      <x:c r="O343" s="66" t="n">
        <x:v>0.0176343539273504</x:v>
      </x:c>
      <x:c r="P343" s="66" t="n">
        <x:v>0.141581180082305</x:v>
      </x:c>
      <x:c r="Q343" s="66" t="n">
        <x:v>8.32909496373311e-8</x:v>
      </x:c>
      <x:c r="R343" s="66" t="str">
        <x:v>C:\Users\admin\.codex\.chatgpt-projects\g-p-6910508be2a081919b9cb5881a96c92b\overnight_refinement_2026-08-27\reports\342_21k_Mp1p55_Ap0_Op0p0001_ise_report.json</x:v>
      </x:c>
    </x:row>
    <x:row r="344">
      <x:c r="A344" s="66" t="str">
        <x:v>343_21k_Mp1p1_Am2_Op0p00001_sln</x:v>
      </x:c>
      <x:c r="B344" s="66" t="str">
        <x:v>21k</x:v>
      </x:c>
      <x:c r="C344" s="66" t="n">
        <x:v>1.1</x:v>
      </x:c>
      <x:c r="D344" s="66" t="n">
        <x:v>-2</x:v>
      </x:c>
      <x:c r="E344" s="66" t="n">
        <x:v>0.00001</x:v>
      </x:c>
      <x:c r="F344" s="66" t="str">
        <x:v>slender-body</x:v>
      </x:c>
      <x:c r="G344" s="66" t="str">
        <x:v>FQRUP</x:v>
      </x:c>
      <x:c r="H344" s="66" t="str">
        <x:v>OK</x:v>
      </x:c>
      <x:c r="I344" s="66" t="n">
        <x:v>1</x:v>
      </x:c>
      <x:c r="J344" s="66" t="n">
        <x:v>0</x:v>
      </x:c>
      <x:c r="K344" s="66" t="n">
        <x:v>130.187</x:v>
      </x:c>
      <x:c r="L344" s="66" t="n">
        <x:v>0.0518078970324508</x:v>
      </x:c>
      <x:c r="M344" s="66" t="n">
        <x:v>-0.00334945723686554</x:v>
      </x:c>
      <x:c r="N344" s="66" t="n">
        <x:v>-0.00914423984326191</x:v>
      </x:c>
      <x:c r="O344" s="66" t="n">
        <x:v>0.052095466429638</x:v>
      </x:c>
      <x:c r="P344" s="66" t="n">
        <x:v>-0.00733059988777096</x:v>
      </x:c>
      <x:c r="Q344" s="66" t="n">
        <x:v>6.17584077079218e-9</x:v>
      </x:c>
      <x:c r="R344" s="66" t="str">
        <x:v>C:\Users\admin\.codex\.chatgpt-projects\g-p-6910508be2a081919b9cb5881a96c92b\overnight_refinement_2026-08-27\reports\343_21k_Mp1p1_Am2_Op0p00001_sln_report.json</x:v>
      </x:c>
    </x:row>
    <x:row r="345">
      <x:c r="A345" s="66" t="str">
        <x:v>344_21k_Mp1p1_Ap0_Op0p00001_sln</x:v>
      </x:c>
      <x:c r="B345" s="66" t="str">
        <x:v>21k</x:v>
      </x:c>
      <x:c r="C345" s="66" t="n">
        <x:v>1.1</x:v>
      </x:c>
      <x:c r="D345" s="66" t="n">
        <x:v>0</x:v>
      </x:c>
      <x:c r="E345" s="66" t="n">
        <x:v>0.00001</x:v>
      </x:c>
      <x:c r="F345" s="66" t="str">
        <x:v>slender-body</x:v>
      </x:c>
      <x:c r="G345" s="66" t="str">
        <x:v>FQRUP</x:v>
      </x:c>
      <x:c r="H345" s="66" t="str">
        <x:v>OK</x:v>
      </x:c>
      <x:c r="I345" s="66" t="n">
        <x:v>1</x:v>
      </x:c>
      <x:c r="J345" s="66" t="n">
        <x:v>0</x:v>
      </x:c>
      <x:c r="K345" s="66" t="n">
        <x:v>130.235</x:v>
      </x:c>
      <x:c r="L345" s="66" t="n">
        <x:v>0.0538331107016157</x:v>
      </x:c>
      <x:c r="M345" s="66" t="n">
        <x:v>0.000366153461374292</x:v>
      </x:c>
      <x:c r="N345" s="66" t="n">
        <x:v>0.00424680698854944</x:v>
      </x:c>
      <x:c r="O345" s="66" t="n">
        <x:v>0.0538331107016157</x:v>
      </x:c>
      <x:c r="P345" s="66" t="n">
        <x:v>0.00424680698854944</x:v>
      </x:c>
      <x:c r="Q345" s="66" t="n">
        <x:v>6.12720817687872e-9</x:v>
      </x:c>
      <x:c r="R345" s="66" t="str">
        <x:v>C:\Users\admin\.codex\.chatgpt-projects\g-p-6910508be2a081919b9cb5881a96c92b\overnight_refinement_2026-08-27\reports\344_21k_Mp1p1_Ap0_Op0p00001_sln_report.json</x:v>
      </x:c>
    </x:row>
    <x:row r="346">
      <x:c r="A346" s="66" t="str">
        <x:v>345_21k_Mp1p1_Ap2_Op0p00001_sln</x:v>
      </x:c>
      <x:c r="B346" s="66" t="str">
        <x:v>21k</x:v>
      </x:c>
      <x:c r="C346" s="66" t="n">
        <x:v>1.1</x:v>
      </x:c>
      <x:c r="D346" s="66" t="n">
        <x:v>2</x:v>
      </x:c>
      <x:c r="E346" s="66" t="n">
        <x:v>0.00001</x:v>
      </x:c>
      <x:c r="F346" s="66" t="str">
        <x:v>slender-body</x:v>
      </x:c>
      <x:c r="G346" s="66" t="str">
        <x:v>FQRUP</x:v>
      </x:c>
      <x:c r="H346" s="66" t="str">
        <x:v>OK</x:v>
      </x:c>
      <x:c r="I346" s="66" t="n">
        <x:v>1</x:v>
      </x:c>
      <x:c r="J346" s="66" t="n">
        <x:v>0</x:v>
      </x:c>
      <x:c r="K346" s="66" t="n">
        <x:v>130.125</x:v>
      </x:c>
      <x:c r="L346" s="66" t="n">
        <x:v>0.0509911543101689</x:v>
      </x:c>
      <x:c r="M346" s="66" t="n">
        <x:v>0.00168898108423187</x:v>
      </x:c>
      <x:c r="N346" s="66" t="n">
        <x:v>0.00386541584702318</x:v>
      </x:c>
      <x:c r="O346" s="66" t="n">
        <x:v>0.051094992944305</x:v>
      </x:c>
      <x:c r="P346" s="66" t="n">
        <x:v>0.00208349551842476</x:v>
      </x:c>
      <x:c r="Q346" s="66" t="n">
        <x:v>6.01628548879152e-9</x:v>
      </x:c>
      <x:c r="R346" s="66" t="str">
        <x:v>C:\Users\admin\.codex\.chatgpt-projects\g-p-6910508be2a081919b9cb5881a96c92b\overnight_refinement_2026-08-27\reports\345_21k_Mp1p1_Ap2_Op0p00001_sln_report.json</x:v>
      </x:c>
    </x:row>
    <x:row r="347">
      <x:c r="A347" s="66" t="str">
        <x:v>346_21k_Mp1p15_Am2_Op0p00001_sln</x:v>
      </x:c>
      <x:c r="B347" s="66" t="str">
        <x:v>21k</x:v>
      </x:c>
      <x:c r="C347" s="66" t="n">
        <x:v>1.15</x:v>
      </x:c>
      <x:c r="D347" s="66" t="n">
        <x:v>-2</x:v>
      </x:c>
      <x:c r="E347" s="66" t="n">
        <x:v>0.00001</x:v>
      </x:c>
      <x:c r="F347" s="66" t="str">
        <x:v>slender-body</x:v>
      </x:c>
      <x:c r="G347" s="66" t="str">
        <x:v>FQRUP</x:v>
      </x:c>
      <x:c r="H347" s="66" t="str">
        <x:v>OK</x:v>
      </x:c>
      <x:c r="I347" s="66" t="n">
        <x:v>1</x:v>
      </x:c>
      <x:c r="J347" s="66" t="n">
        <x:v>0</x:v>
      </x:c>
      <x:c r="K347" s="66" t="n">
        <x:v>113.031</x:v>
      </x:c>
      <x:c r="L347" s="66" t="n">
        <x:v>0.0509000161229017</x:v>
      </x:c>
      <x:c r="M347" s="66" t="n">
        <x:v>-0.00278111574554466</x:v>
      </x:c>
      <x:c r="N347" s="66" t="n">
        <x:v>-0.00373895163364653</x:v>
      </x:c>
      <x:c r="O347" s="66" t="n">
        <x:v>0.0509994967385613</x:v>
      </x:c>
      <x:c r="P347" s="66" t="n">
        <x:v>-0.00196028902049595</x:v>
      </x:c>
      <x:c r="Q347" s="66" t="n">
        <x:v>7.4089152070378e-9</x:v>
      </x:c>
      <x:c r="R347" s="66" t="str">
        <x:v>C:\Users\admin\.codex\.chatgpt-projects\g-p-6910508be2a081919b9cb5881a96c92b\overnight_refinement_2026-08-27\reports\346_21k_Mp1p15_Am2_Op0p00001_sln_report.json</x:v>
      </x:c>
    </x:row>
    <x:row r="348">
      <x:c r="A348" s="66" t="str">
        <x:v>347_21k_Mp1p15_Ap0_Op0p00001_sln</x:v>
      </x:c>
      <x:c r="B348" s="66" t="str">
        <x:v>21k</x:v>
      </x:c>
      <x:c r="C348" s="66" t="n">
        <x:v>1.15</x:v>
      </x:c>
      <x:c r="D348" s="66" t="n">
        <x:v>0</x:v>
      </x:c>
      <x:c r="E348" s="66" t="n">
        <x:v>0.00001</x:v>
      </x:c>
      <x:c r="F348" s="66" t="str">
        <x:v>slender-body</x:v>
      </x:c>
      <x:c r="G348" s="66" t="str">
        <x:v>FQRUP</x:v>
      </x:c>
      <x:c r="H348" s="66" t="str">
        <x:v>OK</x:v>
      </x:c>
      <x:c r="I348" s="66" t="n">
        <x:v>1</x:v>
      </x:c>
      <x:c r="J348" s="66" t="n">
        <x:v>0</x:v>
      </x:c>
      <x:c r="K348" s="66" t="n">
        <x:v>113.125</x:v>
      </x:c>
      <x:c r="L348" s="66" t="n">
        <x:v>0.0534874716790406</x:v>
      </x:c>
      <x:c r="M348" s="66" t="n">
        <x:v>-0.0000889862297062225</x:v>
      </x:c>
      <x:c r="N348" s="66" t="n">
        <x:v>0.00104047922523691</x:v>
      </x:c>
      <x:c r="O348" s="66" t="n">
        <x:v>0.0534874716790406</x:v>
      </x:c>
      <x:c r="P348" s="66" t="n">
        <x:v>0.00104047922523691</x:v>
      </x:c>
      <x:c r="Q348" s="66" t="n">
        <x:v>7.60778506535285e-9</x:v>
      </x:c>
      <x:c r="R348" s="66" t="str">
        <x:v>C:\Users\admin\.codex\.chatgpt-projects\g-p-6910508be2a081919b9cb5881a96c92b\overnight_refinement_2026-08-27\reports\347_21k_Mp1p15_Ap0_Op0p00001_sln_report.json</x:v>
      </x:c>
    </x:row>
    <x:row r="349">
      <x:c r="A349" s="66" t="str">
        <x:v>348_21k_Mp1p15_Ap2_Op0p00001_sln</x:v>
      </x:c>
      <x:c r="B349" s="66" t="str">
        <x:v>21k</x:v>
      </x:c>
      <x:c r="C349" s="66" t="n">
        <x:v>1.15</x:v>
      </x:c>
      <x:c r="D349" s="66" t="n">
        <x:v>2</x:v>
      </x:c>
      <x:c r="E349" s="66" t="n">
        <x:v>0.00001</x:v>
      </x:c>
      <x:c r="F349" s="66" t="str">
        <x:v>slender-body</x:v>
      </x:c>
      <x:c r="G349" s="66" t="str">
        <x:v>FQRUP</x:v>
      </x:c>
      <x:c r="H349" s="66" t="str">
        <x:v>OK</x:v>
      </x:c>
      <x:c r="I349" s="66" t="n">
        <x:v>1</x:v>
      </x:c>
      <x:c r="J349" s="66" t="n">
        <x:v>0</x:v>
      </x:c>
      <x:c r="K349" s="66" t="n">
        <x:v>113.75</x:v>
      </x:c>
      <x:c r="L349" s="66" t="n">
        <x:v>0.0501674209382415</x:v>
      </x:c>
      <x:c r="M349" s="66" t="n">
        <x:v>0.00138980070551911</x:v>
      </x:c>
      <x:c r="N349" s="66" t="n">
        <x:v>-0.00360916880278432</x:v>
      </x:c>
      <x:c r="O349" s="66" t="n">
        <x:v>0.0500109021261527</x:v>
      </x:c>
      <x:c r="P349" s="66" t="n">
        <x:v>-0.00535778793627328</x:v>
      </x:c>
      <x:c r="Q349" s="66" t="n">
        <x:v>7.62887011725961e-9</x:v>
      </x:c>
      <x:c r="R349" s="66" t="str">
        <x:v>C:\Users\admin\.codex\.chatgpt-projects\g-p-6910508be2a081919b9cb5881a96c92b\overnight_refinement_2026-08-27\reports\348_21k_Mp1p15_Ap2_Op0p00001_sln_report.json</x:v>
      </x:c>
    </x:row>
    <x:row r="350">
      <x:c r="A350" s="66" t="str">
        <x:v>349_21k_Mp1p2_Am2_Op0p00001_sln</x:v>
      </x:c>
      <x:c r="B350" s="66" t="str">
        <x:v>21k</x:v>
      </x:c>
      <x:c r="C350" s="66" t="n">
        <x:v>1.2</x:v>
      </x:c>
      <x:c r="D350" s="66" t="n">
        <x:v>-2</x:v>
      </x:c>
      <x:c r="E350" s="66" t="n">
        <x:v>0.00001</x:v>
      </x:c>
      <x:c r="F350" s="66" t="str">
        <x:v>slender-body</x:v>
      </x:c>
      <x:c r="G350" s="66" t="str">
        <x:v>FQRUP</x:v>
      </x:c>
      <x:c r="H350" s="66" t="str">
        <x:v>OK</x:v>
      </x:c>
      <x:c r="I350" s="66" t="n">
        <x:v>1</x:v>
      </x:c>
      <x:c r="J350" s="66" t="n">
        <x:v>0</x:v>
      </x:c>
      <x:c r="K350" s="66" t="n">
        <x:v>102.125</x:v>
      </x:c>
      <x:c r="L350" s="66" t="n">
        <x:v>0.0494171896086086</x:v>
      </x:c>
      <x:c r="M350" s="66" t="n">
        <x:v>-0.0028433320166849</x:v>
      </x:c>
      <x:c r="N350" s="66" t="n">
        <x:v>0.0000613690985259018</x:v>
      </x:c>
      <x:c r="O350" s="66" t="n">
        <x:v>0.0493849442412552</x:v>
      </x:c>
      <x:c r="P350" s="66" t="n">
        <x:v>0.00178596675992172</x:v>
      </x:c>
      <x:c r="Q350" s="66" t="n">
        <x:v>8.37581293090987e-9</x:v>
      </x:c>
      <x:c r="R350" s="66" t="str">
        <x:v>C:\Users\admin\.codex\.chatgpt-projects\g-p-6910508be2a081919b9cb5881a96c92b\overnight_refinement_2026-08-27\reports\349_21k_Mp1p2_Am2_Op0p00001_sln_report.json</x:v>
      </x:c>
    </x:row>
    <x:row r="351">
      <x:c r="A351" s="66" t="str">
        <x:v>350_21k_Mp1p2_Ap0_Op0p00001_sln</x:v>
      </x:c>
      <x:c r="B351" s="66" t="str">
        <x:v>21k</x:v>
      </x:c>
      <x:c r="C351" s="66" t="n">
        <x:v>1.2</x:v>
      </x:c>
      <x:c r="D351" s="66" t="n">
        <x:v>0</x:v>
      </x:c>
      <x:c r="E351" s="66" t="n">
        <x:v>0.00001</x:v>
      </x:c>
      <x:c r="F351" s="66" t="str">
        <x:v>slender-body</x:v>
      </x:c>
      <x:c r="G351" s="66" t="str">
        <x:v>FQRUP</x:v>
      </x:c>
      <x:c r="H351" s="66" t="str">
        <x:v>OK</x:v>
      </x:c>
      <x:c r="I351" s="66" t="n">
        <x:v>1</x:v>
      </x:c>
      <x:c r="J351" s="66" t="n">
        <x:v>0</x:v>
      </x:c>
      <x:c r="K351" s="66" t="n">
        <x:v>99.906</x:v>
      </x:c>
      <x:c r="L351" s="66" t="n">
        <x:v>0.0515493094859966</x:v>
      </x:c>
      <x:c r="M351" s="66" t="n">
        <x:v>-0.000404079829920812</x:v>
      </x:c>
      <x:c r="N351" s="66" t="n">
        <x:v>-0.000507302542576584</x:v>
      </x:c>
      <x:c r="O351" s="66" t="n">
        <x:v>0.0515493094859966</x:v>
      </x:c>
      <x:c r="P351" s="66" t="n">
        <x:v>-0.000507302542576584</x:v>
      </x:c>
      <x:c r="Q351" s="66" t="n">
        <x:v>8.93140926538896e-9</x:v>
      </x:c>
      <x:c r="R351" s="66" t="str">
        <x:v>C:\Users\admin\.codex\.chatgpt-projects\g-p-6910508be2a081919b9cb5881a96c92b\overnight_refinement_2026-08-27\reports\350_21k_Mp1p2_Ap0_Op0p00001_sln_report.json</x:v>
      </x:c>
    </x:row>
    <x:row r="352">
      <x:c r="A352" s="66" t="str">
        <x:v>351_21k_Mp1p2_Ap2_Op0p00001_sln</x:v>
      </x:c>
      <x:c r="B352" s="66" t="str">
        <x:v>21k</x:v>
      </x:c>
      <x:c r="C352" s="66" t="n">
        <x:v>1.2</x:v>
      </x:c>
      <x:c r="D352" s="66" t="n">
        <x:v>2</x:v>
      </x:c>
      <x:c r="E352" s="66" t="n">
        <x:v>0.00001</x:v>
      </x:c>
      <x:c r="F352" s="66" t="str">
        <x:v>slender-body</x:v>
      </x:c>
      <x:c r="G352" s="66" t="str">
        <x:v>FQRUP</x:v>
      </x:c>
      <x:c r="H352" s="66" t="str">
        <x:v>OK</x:v>
      </x:c>
      <x:c r="I352" s="66" t="n">
        <x:v>1</x:v>
      </x:c>
      <x:c r="J352" s="66" t="n">
        <x:v>0</x:v>
      </x:c>
      <x:c r="K352" s="66" t="n">
        <x:v>99.594</x:v>
      </x:c>
      <x:c r="L352" s="66" t="n">
        <x:v>0.0476824450148353</x:v>
      </x:c>
      <x:c r="M352" s="66" t="n">
        <x:v>0.00101750739570836</x:v>
      </x:c>
      <x:c r="N352" s="66" t="n">
        <x:v>-0.00257020155034122</x:v>
      </x:c>
      <x:c r="O352" s="66" t="n">
        <x:v>0.0475636994171379</x:v>
      </x:c>
      <x:c r="P352" s="66" t="n">
        <x:v>-0.0042327291855637</x:v>
      </x:c>
      <x:c r="Q352" s="66" t="n">
        <x:v>9.01150796780396e-9</x:v>
      </x:c>
      <x:c r="R352" s="66" t="str">
        <x:v>C:\Users\admin\.codex\.chatgpt-projects\g-p-6910508be2a081919b9cb5881a96c92b\overnight_refinement_2026-08-27\reports\351_21k_Mp1p2_Ap2_Op0p00001_sln_report.json</x:v>
      </x:c>
    </x:row>
    <x:row r="353">
      <x:c r="A353" s="66" t="str">
        <x:v>352_21k_Mp1p25_Am2_Op0p00001_sln</x:v>
      </x:c>
      <x:c r="B353" s="66" t="str">
        <x:v>21k</x:v>
      </x:c>
      <x:c r="C353" s="66" t="n">
        <x:v>1.25</x:v>
      </x:c>
      <x:c r="D353" s="66" t="n">
        <x:v>-2</x:v>
      </x:c>
      <x:c r="E353" s="66" t="n">
        <x:v>0.00001</x:v>
      </x:c>
      <x:c r="F353" s="66" t="str">
        <x:v>slender-body</x:v>
      </x:c>
      <x:c r="G353" s="66" t="str">
        <x:v>FQRUP</x:v>
      </x:c>
      <x:c r="H353" s="66" t="str">
        <x:v>OK</x:v>
      </x:c>
      <x:c r="I353" s="66" t="n">
        <x:v>1</x:v>
      </x:c>
      <x:c r="J353" s="66" t="n">
        <x:v>0</x:v>
      </x:c>
      <x:c r="K353" s="66" t="n">
        <x:v>89.454</x:v>
      </x:c>
      <x:c r="L353" s="66" t="n">
        <x:v>0.0470662831901907</x:v>
      </x:c>
      <x:c r="M353" s="66" t="n">
        <x:v>-0.00260614764811708</x:v>
      </x:c>
      <x:c r="N353" s="66" t="n">
        <x:v>-0.000101652742960263</x:v>
      </x:c>
      <x:c r="O353" s="66" t="n">
        <x:v>0.0470411593117274</x:v>
      </x:c>
      <x:c r="P353" s="66" t="n">
        <x:v>0.00154099877613922</x:v>
      </x:c>
      <x:c r="Q353" s="66" t="n">
        <x:v>8.84356149917652e-9</x:v>
      </x:c>
      <x:c r="R353" s="66" t="str">
        <x:v>C:\Users\admin\.codex\.chatgpt-projects\g-p-6910508be2a081919b9cb5881a96c92b\overnight_refinement_2026-08-27\reports\352_21k_Mp1p25_Am2_Op0p00001_sln_report.json</x:v>
      </x:c>
    </x:row>
    <x:row r="354">
      <x:c r="A354" s="66" t="str">
        <x:v>353_21k_Mp1p25_Ap0_Op0p00001_sln</x:v>
      </x:c>
      <x:c r="B354" s="66" t="str">
        <x:v>21k</x:v>
      </x:c>
      <x:c r="C354" s="66" t="n">
        <x:v>1.25</x:v>
      </x:c>
      <x:c r="D354" s="66" t="n">
        <x:v>0</x:v>
      </x:c>
      <x:c r="E354" s="66" t="n">
        <x:v>0.00001</x:v>
      </x:c>
      <x:c r="F354" s="66" t="str">
        <x:v>slender-body</x:v>
      </x:c>
      <x:c r="G354" s="66" t="str">
        <x:v>FQRUP</x:v>
      </x:c>
      <x:c r="H354" s="66" t="str">
        <x:v>OK</x:v>
      </x:c>
      <x:c r="I354" s="66" t="n">
        <x:v>1</x:v>
      </x:c>
      <x:c r="J354" s="66" t="n">
        <x:v>0</x:v>
      </x:c>
      <x:c r="K354" s="66" t="n">
        <x:v>89.562</x:v>
      </x:c>
      <x:c r="L354" s="66" t="n">
        <x:v>0.0480410408411586</x:v>
      </x:c>
      <x:c r="M354" s="66" t="n">
        <x:v>-0.000451723011634914</x:v>
      </x:c>
      <x:c r="N354" s="66" t="n">
        <x:v>-0.00408959571588141</x:v>
      </x:c>
      <x:c r="O354" s="66" t="n">
        <x:v>0.0480410408411586</x:v>
      </x:c>
      <x:c r="P354" s="66" t="n">
        <x:v>-0.00408959571588141</x:v>
      </x:c>
      <x:c r="Q354" s="66" t="n">
        <x:v>9.11739502914978e-9</x:v>
      </x:c>
      <x:c r="R354" s="66" t="str">
        <x:v>C:\Users\admin\.codex\.chatgpt-projects\g-p-6910508be2a081919b9cb5881a96c92b\overnight_refinement_2026-08-27\reports\353_21k_Mp1p25_Ap0_Op0p00001_sln_report.json</x:v>
      </x:c>
    </x:row>
    <x:row r="355">
      <x:c r="A355" s="66" t="str">
        <x:v>354_21k_Mp1p25_Ap2_Op0p00001_sln</x:v>
      </x:c>
      <x:c r="B355" s="66" t="str">
        <x:v>21k</x:v>
      </x:c>
      <x:c r="C355" s="66" t="n">
        <x:v>1.25</x:v>
      </x:c>
      <x:c r="D355" s="66" t="n">
        <x:v>2</x:v>
      </x:c>
      <x:c r="E355" s="66" t="n">
        <x:v>0.00001</x:v>
      </x:c>
      <x:c r="F355" s="66" t="str">
        <x:v>slender-body</x:v>
      </x:c>
      <x:c r="G355" s="66" t="str">
        <x:v>FQRUP</x:v>
      </x:c>
      <x:c r="H355" s="66" t="str">
        <x:v>OK</x:v>
      </x:c>
      <x:c r="I355" s="66" t="n">
        <x:v>1</x:v>
      </x:c>
      <x:c r="J355" s="66" t="n">
        <x:v>0</x:v>
      </x:c>
      <x:c r="K355" s="66" t="n">
        <x:v>89.25</x:v>
      </x:c>
      <x:c r="L355" s="66" t="n">
        <x:v>0.0447202942348387</x:v>
      </x:c>
      <x:c r="M355" s="66" t="n">
        <x:v>0.00140411147729158</x:v>
      </x:c>
      <x:c r="N355" s="66" t="n">
        <x:v>-0.00134186128693173</x:v>
      </x:c>
      <x:c r="O355" s="66" t="n">
        <x:v>0.0446462215563343</x:v>
      </x:c>
      <x:c r="P355" s="66" t="n">
        <x:v>-0.00290175962247524</x:v>
      </x:c>
      <x:c r="Q355" s="66" t="n">
        <x:v>9.70469228291989e-9</x:v>
      </x:c>
      <x:c r="R355" s="66" t="str">
        <x:v>C:\Users\admin\.codex\.chatgpt-projects\g-p-6910508be2a081919b9cb5881a96c92b\overnight_refinement_2026-08-27\reports\354_21k_Mp1p25_Ap2_Op0p00001_sln_report.json</x:v>
      </x:c>
    </x:row>
    <x:row r="356">
      <x:c r="A356" s="66" t="str">
        <x:v>355_21k_Mp1p3_Am2_Op0p00001_sln</x:v>
      </x:c>
      <x:c r="B356" s="66" t="str">
        <x:v>21k</x:v>
      </x:c>
      <x:c r="C356" s="66" t="n">
        <x:v>1.3</x:v>
      </x:c>
      <x:c r="D356" s="66" t="n">
        <x:v>-2</x:v>
      </x:c>
      <x:c r="E356" s="66" t="n">
        <x:v>0.00001</x:v>
      </x:c>
      <x:c r="F356" s="66" t="str">
        <x:v>slender-body</x:v>
      </x:c>
      <x:c r="G356" s="66" t="str">
        <x:v>FQRUP</x:v>
      </x:c>
      <x:c r="H356" s="66" t="str">
        <x:v>OK</x:v>
      </x:c>
      <x:c r="I356" s="66" t="n">
        <x:v>1</x:v>
      </x:c>
      <x:c r="J356" s="66" t="n">
        <x:v>0</x:v>
      </x:c>
      <x:c r="K356" s="66" t="n">
        <x:v>82.969</x:v>
      </x:c>
      <x:c r="L356" s="66" t="n">
        <x:v>0.0430836937649284</x:v>
      </x:c>
      <x:c r="M356" s="66" t="n">
        <x:v>-0.00311409014413322</x:v>
      </x:c>
      <x:c r="N356" s="66" t="n">
        <x:v>-0.00113323920881595</x:v>
      </x:c>
      <x:c r="O356" s="66" t="n">
        <x:v>0.0430969978208005</x:v>
      </x:c>
      <x:c r="P356" s="66" t="n">
        <x:v>0.000371050358371642</x:v>
      </x:c>
      <x:c r="Q356" s="66" t="n">
        <x:v>8.86482872363647e-9</x:v>
      </x:c>
      <x:c r="R356" s="66" t="str">
        <x:v>C:\Users\admin\.codex\.chatgpt-projects\g-p-6910508be2a081919b9cb5881a96c92b\overnight_refinement_2026-08-27\reports\355_21k_Mp1p3_Am2_Op0p00001_sln_report.json</x:v>
      </x:c>
    </x:row>
    <x:row r="357">
      <x:c r="A357" s="66" t="str">
        <x:v>356_21k_Mp1p3_Ap0_Op0p00001_sln</x:v>
      </x:c>
      <x:c r="B357" s="66" t="str">
        <x:v>21k</x:v>
      </x:c>
      <x:c r="C357" s="66" t="n">
        <x:v>1.3</x:v>
      </x:c>
      <x:c r="D357" s="66" t="n">
        <x:v>0</x:v>
      </x:c>
      <x:c r="E357" s="66" t="n">
        <x:v>0.00001</x:v>
      </x:c>
      <x:c r="F357" s="66" t="str">
        <x:v>slender-body</x:v>
      </x:c>
      <x:c r="G357" s="66" t="str">
        <x:v>FQRUP</x:v>
      </x:c>
      <x:c r="H357" s="66" t="str">
        <x:v>OK</x:v>
      </x:c>
      <x:c r="I357" s="66" t="n">
        <x:v>1</x:v>
      </x:c>
      <x:c r="J357" s="66" t="n">
        <x:v>0</x:v>
      </x:c>
      <x:c r="K357" s="66" t="n">
        <x:v>82.125</x:v>
      </x:c>
      <x:c r="L357" s="66" t="n">
        <x:v>0.042248916412254</x:v>
      </x:c>
      <x:c r="M357" s="66" t="n">
        <x:v>-0.000891261662743868</x:v>
      </x:c>
      <x:c r="N357" s="66" t="n">
        <x:v>-0.0088249543384918</x:v>
      </x:c>
      <x:c r="O357" s="66" t="n">
        <x:v>0.042248916412254</x:v>
      </x:c>
      <x:c r="P357" s="66" t="n">
        <x:v>-0.0088249543384918</x:v>
      </x:c>
      <x:c r="Q357" s="66" t="n">
        <x:v>8.86179191903648e-9</x:v>
      </x:c>
      <x:c r="R357" s="66" t="str">
        <x:v>C:\Users\admin\.codex\.chatgpt-projects\g-p-6910508be2a081919b9cb5881a96c92b\overnight_refinement_2026-08-27\reports\356_21k_Mp1p3_Ap0_Op0p00001_sln_report.json</x:v>
      </x:c>
    </x:row>
    <x:row r="358">
      <x:c r="A358" s="66" t="str">
        <x:v>357_21k_Mp1p3_Ap2_Op0p00001_sln</x:v>
      </x:c>
      <x:c r="B358" s="66" t="str">
        <x:v>21k</x:v>
      </x:c>
      <x:c r="C358" s="66" t="n">
        <x:v>1.3</x:v>
      </x:c>
      <x:c r="D358" s="66" t="n">
        <x:v>2</x:v>
      </x:c>
      <x:c r="E358" s="66" t="n">
        <x:v>0.00001</x:v>
      </x:c>
      <x:c r="F358" s="66" t="str">
        <x:v>slender-body</x:v>
      </x:c>
      <x:c r="G358" s="66" t="str">
        <x:v>FQRUP</x:v>
      </x:c>
      <x:c r="H358" s="66" t="str">
        <x:v>OK</x:v>
      </x:c>
      <x:c r="I358" s="66" t="n">
        <x:v>1</x:v>
      </x:c>
      <x:c r="J358" s="66" t="n">
        <x:v>0</x:v>
      </x:c>
      <x:c r="K358" s="66" t="n">
        <x:v>82</x:v>
      </x:c>
      <x:c r="L358" s="66" t="n">
        <x:v>0.0376788674147432</x:v>
      </x:c>
      <x:c r="M358" s="66" t="n">
        <x:v>0.00124548542069045</x:v>
      </x:c>
      <x:c r="N358" s="66" t="n">
        <x:v>-0.00251710103321748</x:v>
      </x:c>
      <x:c r="O358" s="66" t="n">
        <x:v>0.0375680689075544</x:v>
      </x:c>
      <x:c r="P358" s="66" t="n">
        <x:v>-0.00383054119237264</x:v>
      </x:c>
      <x:c r="Q358" s="66" t="n">
        <x:v>9.69409265443277e-9</x:v>
      </x:c>
      <x:c r="R358" s="66" t="str">
        <x:v>C:\Users\admin\.codex\.chatgpt-projects\g-p-6910508be2a081919b9cb5881a96c92b\overnight_refinement_2026-08-27\reports\357_21k_Mp1p3_Ap2_Op0p00001_sln_report.json</x:v>
      </x:c>
    </x:row>
    <x:row r="359">
      <x:c r="A359" s="66" t="str">
        <x:v>358_21k_Mp1p35_Am2_Op0p00001_sln</x:v>
      </x:c>
      <x:c r="B359" s="66" t="str">
        <x:v>21k</x:v>
      </x:c>
      <x:c r="C359" s="66" t="n">
        <x:v>1.35</x:v>
      </x:c>
      <x:c r="D359" s="66" t="n">
        <x:v>-2</x:v>
      </x:c>
      <x:c r="E359" s="66" t="n">
        <x:v>0.00001</x:v>
      </x:c>
      <x:c r="F359" s="66" t="str">
        <x:v>slender-body</x:v>
      </x:c>
      <x:c r="G359" s="66" t="str">
        <x:v>FQRUP</x:v>
      </x:c>
      <x:c r="H359" s="66" t="str">
        <x:v>OK</x:v>
      </x:c>
      <x:c r="I359" s="66" t="n">
        <x:v>1</x:v>
      </x:c>
      <x:c r="J359" s="66" t="n">
        <x:v>0</x:v>
      </x:c>
      <x:c r="K359" s="66" t="n">
        <x:v>76.562</x:v>
      </x:c>
      <x:c r="L359" s="66" t="n">
        <x:v>0.0266578067976541</x:v>
      </x:c>
      <x:c r="M359" s="66" t="n">
        <x:v>0.00000241764743381126</x:v>
      </x:c>
      <x:c r="N359" s="66" t="n">
        <x:v>0.00214328151600155</x:v>
      </x:c>
      <x:c r="O359" s="66" t="n">
        <x:v>0.0265667681358226</x:v>
      </x:c>
      <x:c r="P359" s="66" t="n">
        <x:v>0.00307231992724217</x:v>
      </x:c>
      <x:c r="Q359" s="66" t="n">
        <x:v>8.58102243471576e-9</x:v>
      </x:c>
      <x:c r="R359" s="66" t="str">
        <x:v>C:\Users\admin\.codex\.chatgpt-projects\g-p-6910508be2a081919b9cb5881a96c92b\overnight_refinement_2026-08-27\reports\358_21k_Mp1p35_Am2_Op0p00001_sln_report.json</x:v>
      </x:c>
    </x:row>
    <x:row r="360">
      <x:c r="A360" s="66" t="str">
        <x:v>359_21k_Mp1p35_Ap0_Op0p00001_sln</x:v>
      </x:c>
      <x:c r="B360" s="66" t="str">
        <x:v>21k</x:v>
      </x:c>
      <x:c r="C360" s="66" t="n">
        <x:v>1.35</x:v>
      </x:c>
      <x:c r="D360" s="66" t="n">
        <x:v>0</x:v>
      </x:c>
      <x:c r="E360" s="66" t="n">
        <x:v>0.00001</x:v>
      </x:c>
      <x:c r="F360" s="66" t="str">
        <x:v>slender-body</x:v>
      </x:c>
      <x:c r="G360" s="66" t="str">
        <x:v>FQRUP</x:v>
      </x:c>
      <x:c r="H360" s="66" t="str">
        <x:v>OK</x:v>
      </x:c>
      <x:c r="I360" s="66" t="n">
        <x:v>1</x:v>
      </x:c>
      <x:c r="J360" s="66" t="n">
        <x:v>0</x:v>
      </x:c>
      <x:c r="K360" s="66" t="n">
        <x:v>75.89</x:v>
      </x:c>
      <x:c r="L360" s="66" t="n">
        <x:v>0.0257505531794199</x:v>
      </x:c>
      <x:c r="M360" s="66" t="n">
        <x:v>0.000581919223404511</x:v>
      </x:c>
      <x:c r="N360" s="66" t="n">
        <x:v>-0.0168723222405479</x:v>
      </x:c>
      <x:c r="O360" s="66" t="n">
        <x:v>0.0257505531794199</x:v>
      </x:c>
      <x:c r="P360" s="66" t="n">
        <x:v>-0.0168723222405479</x:v>
      </x:c>
      <x:c r="Q360" s="66" t="n">
        <x:v>9.192672746964e-9</x:v>
      </x:c>
      <x:c r="R360" s="66" t="str">
        <x:v>C:\Users\admin\.codex\.chatgpt-projects\g-p-6910508be2a081919b9cb5881a96c92b\overnight_refinement_2026-08-27\reports\359_21k_Mp1p35_Ap0_Op0p00001_sln_report.json</x:v>
      </x:c>
    </x:row>
    <x:row r="361">
      <x:c r="A361" s="66" t="str">
        <x:v>360_21k_Mp1p35_Ap2_Op0p00001_sln</x:v>
      </x:c>
      <x:c r="B361" s="66" t="str">
        <x:v>21k</x:v>
      </x:c>
      <x:c r="C361" s="66" t="n">
        <x:v>1.35</x:v>
      </x:c>
      <x:c r="D361" s="66" t="n">
        <x:v>2</x:v>
      </x:c>
      <x:c r="E361" s="66" t="n">
        <x:v>0.00001</x:v>
      </x:c>
      <x:c r="F361" s="66" t="str">
        <x:v>slender-body</x:v>
      </x:c>
      <x:c r="G361" s="66" t="str">
        <x:v>FQRUP</x:v>
      </x:c>
      <x:c r="H361" s="66" t="str">
        <x:v>OK</x:v>
      </x:c>
      <x:c r="I361" s="66" t="n">
        <x:v>1</x:v>
      </x:c>
      <x:c r="J361" s="66" t="n">
        <x:v>0</x:v>
      </x:c>
      <x:c r="K361" s="66" t="n">
        <x:v>76.406</x:v>
      </x:c>
      <x:c r="L361" s="66" t="n">
        <x:v>0.0224988202662612</x:v>
      </x:c>
      <x:c r="M361" s="66" t="n">
        <x:v>0.00491568739325479</x:v>
      </x:c>
      <x:c r="N361" s="66" t="n">
        <x:v>-0.0118428211875916</x:v>
      </x:c>
      <x:c r="O361" s="66" t="n">
        <x:v>0.0220718060938681</x:v>
      </x:c>
      <x:c r="P361" s="66" t="n">
        <x:v>-0.012620804364599</x:v>
      </x:c>
      <x:c r="Q361" s="66" t="n">
        <x:v>9.81628547093725e-9</x:v>
      </x:c>
      <x:c r="R361" s="66" t="str">
        <x:v>C:\Users\admin\.codex\.chatgpt-projects\g-p-6910508be2a081919b9cb5881a96c92b\overnight_refinement_2026-08-27\reports\360_21k_Mp1p35_Ap2_Op0p00001_sln_report.json</x:v>
      </x:c>
    </x:row>
    <x:row r="362">
      <x:c r="A362" s="66" t="str">
        <x:v>361_21k_Mp1p4_Am2_Op0p00001_sln</x:v>
      </x:c>
      <x:c r="B362" s="66" t="str">
        <x:v>21k</x:v>
      </x:c>
      <x:c r="C362" s="66" t="n">
        <x:v>1.4</x:v>
      </x:c>
      <x:c r="D362" s="66" t="n">
        <x:v>-2</x:v>
      </x:c>
      <x:c r="E362" s="66" t="n">
        <x:v>0.00001</x:v>
      </x:c>
      <x:c r="F362" s="66" t="str">
        <x:v>slender-body</x:v>
      </x:c>
      <x:c r="G362" s="66" t="str">
        <x:v>FQRUP</x:v>
      </x:c>
      <x:c r="H362" s="66" t="str">
        <x:v>OK</x:v>
      </x:c>
      <x:c r="I362" s="66" t="n">
        <x:v>1</x:v>
      </x:c>
      <x:c r="J362" s="66" t="n">
        <x:v>0</x:v>
      </x:c>
      <x:c r="K362" s="66" t="n">
        <x:v>69.203</x:v>
      </x:c>
      <x:c r="L362" s="66" t="n">
        <x:v>0.0259795499014081</x:v>
      </x:c>
      <x:c r="M362" s="66" t="n">
        <x:v>-0.00122785485744733</x:v>
      </x:c>
      <x:c r="N362" s="66" t="n">
        <x:v>-0.000256936509020155</x:v>
      </x:c>
      <x:c r="O362" s="66" t="n">
        <x:v>0.0259726908164014</x:v>
      </x:c>
      <x:c r="P362" s="66" t="n">
        <x:v>0.000649893225875599</x:v>
      </x:c>
      <x:c r="Q362" s="66" t="n">
        <x:v>8.34819766298612e-9</x:v>
      </x:c>
      <x:c r="R362" s="66" t="str">
        <x:v>C:\Users\admin\.codex\.chatgpt-projects\g-p-6910508be2a081919b9cb5881a96c92b\overnight_refinement_2026-08-27\reports\361_21k_Mp1p4_Am2_Op0p00001_sln_report.json</x:v>
      </x:c>
    </x:row>
    <x:row r="363">
      <x:c r="A363" s="66" t="str">
        <x:v>362_21k_Mp1p4_Ap0_Op0p00001_sln</x:v>
      </x:c>
      <x:c r="B363" s="66" t="str">
        <x:v>21k</x:v>
      </x:c>
      <x:c r="C363" s="66" t="n">
        <x:v>1.4</x:v>
      </x:c>
      <x:c r="D363" s="66" t="n">
        <x:v>0</x:v>
      </x:c>
      <x:c r="E363" s="66" t="n">
        <x:v>0.00001</x:v>
      </x:c>
      <x:c r="F363" s="66" t="str">
        <x:v>slender-body</x:v>
      </x:c>
      <x:c r="G363" s="66" t="str">
        <x:v>FQRUP</x:v>
      </x:c>
      <x:c r="H363" s="66" t="str">
        <x:v>OK</x:v>
      </x:c>
      <x:c r="I363" s="66" t="n">
        <x:v>1</x:v>
      </x:c>
      <x:c r="J363" s="66" t="n">
        <x:v>0</x:v>
      </x:c>
      <x:c r="K363" s="66" t="n">
        <x:v>69.765</x:v>
      </x:c>
      <x:c r="L363" s="66" t="n">
        <x:v>0.0263458755374814</x:v>
      </x:c>
      <x:c r="M363" s="66" t="n">
        <x:v>0.000357769582228071</x:v>
      </x:c>
      <x:c r="N363" s="66" t="n">
        <x:v>-0.00926032968384101</x:v>
      </x:c>
      <x:c r="O363" s="66" t="n">
        <x:v>0.0263458755374814</x:v>
      </x:c>
      <x:c r="P363" s="66" t="n">
        <x:v>-0.00926032968384101</x:v>
      </x:c>
      <x:c r="Q363" s="66" t="n">
        <x:v>8.97330276895708e-9</x:v>
      </x:c>
      <x:c r="R363" s="66" t="str">
        <x:v>C:\Users\admin\.codex\.chatgpt-projects\g-p-6910508be2a081919b9cb5881a96c92b\overnight_refinement_2026-08-27\reports\362_21k_Mp1p4_Ap0_Op0p00001_sln_report.json</x:v>
      </x:c>
    </x:row>
    <x:row r="364">
      <x:c r="A364" s="66" t="str">
        <x:v>363_21k_Mp1p4_Ap2_Op0p00001_sln</x:v>
      </x:c>
      <x:c r="B364" s="66" t="str">
        <x:v>21k</x:v>
      </x:c>
      <x:c r="C364" s="66" t="n">
        <x:v>1.4</x:v>
      </x:c>
      <x:c r="D364" s="66" t="n">
        <x:v>2</x:v>
      </x:c>
      <x:c r="E364" s="66" t="n">
        <x:v>0.00001</x:v>
      </x:c>
      <x:c r="F364" s="66" t="str">
        <x:v>slender-body</x:v>
      </x:c>
      <x:c r="G364" s="66" t="str">
        <x:v>FQRUP</x:v>
      </x:c>
      <x:c r="H364" s="66" t="str">
        <x:v>OK</x:v>
      </x:c>
      <x:c r="I364" s="66" t="n">
        <x:v>1</x:v>
      </x:c>
      <x:c r="J364" s="66" t="n">
        <x:v>0</x:v>
      </x:c>
      <x:c r="K364" s="66" t="n">
        <x:v>71.437</x:v>
      </x:c>
      <x:c r="L364" s="66" t="n">
        <x:v>0.024152044375887</x:v>
      </x:c>
      <x:c r="M364" s="66" t="n">
        <x:v>0.00245145979396056</x:v>
      </x:c>
      <x:c r="N364" s="66" t="n">
        <x:v>0.00552181703881568</x:v>
      </x:c>
      <x:c r="O364" s="66" t="n">
        <x:v>0.0243300402385576</x:v>
      </x:c>
      <x:c r="P364" s="66" t="n">
        <x:v>0.00467555910401521</x:v>
      </x:c>
      <x:c r="Q364" s="66" t="n">
        <x:v>9.33999637839649e-9</x:v>
      </x:c>
      <x:c r="R364" s="66" t="str">
        <x:v>C:\Users\admin\.codex\.chatgpt-projects\g-p-6910508be2a081919b9cb5881a96c92b\overnight_refinement_2026-08-27\reports\363_21k_Mp1p4_Ap2_Op0p00001_sln_report.json</x:v>
      </x:c>
    </x:row>
    <x:row r="365">
      <x:c r="A365" s="66" t="str">
        <x:v>364_21k_Mp1p45_Am2_Op0p00001_sln</x:v>
      </x:c>
      <x:c r="B365" s="66" t="str">
        <x:v>21k</x:v>
      </x:c>
      <x:c r="C365" s="66" t="n">
        <x:v>1.45</x:v>
      </x:c>
      <x:c r="D365" s="66" t="n">
        <x:v>-2</x:v>
      </x:c>
      <x:c r="E365" s="66" t="n">
        <x:v>0.00001</x:v>
      </x:c>
      <x:c r="F365" s="66" t="str">
        <x:v>slender-body</x:v>
      </x:c>
      <x:c r="G365" s="66" t="str">
        <x:v>FQRUP</x:v>
      </x:c>
      <x:c r="H365" s="66" t="str">
        <x:v>OK</x:v>
      </x:c>
      <x:c r="I365" s="66" t="n">
        <x:v>1</x:v>
      </x:c>
      <x:c r="J365" s="66" t="n">
        <x:v>0</x:v>
      </x:c>
      <x:c r="K365" s="66" t="n">
        <x:v>64.531</x:v>
      </x:c>
      <x:c r="L365" s="66" t="n">
        <x:v>0.0295942900918153</x:v>
      </x:c>
      <x:c r="M365" s="66" t="n">
        <x:v>-0.00142940763229761</x:v>
      </x:c>
      <x:c r="N365" s="66" t="n">
        <x:v>0.00844173070007538</x:v>
      </x:c>
      <x:c r="O365" s="66" t="n">
        <x:v>0.0292816498971716</x:v>
      </x:c>
      <x:c r="P365" s="66" t="n">
        <x:v>0.00946941405529299</x:v>
      </x:c>
      <x:c r="Q365" s="66" t="n">
        <x:v>8.13202165464439e-9</x:v>
      </x:c>
      <x:c r="R365" s="66" t="str">
        <x:v>C:\Users\admin\.codex\.chatgpt-projects\g-p-6910508be2a081919b9cb5881a96c92b\overnight_refinement_2026-08-27\reports\364_21k_Mp1p45_Am2_Op0p00001_sln_report.json</x:v>
      </x:c>
    </x:row>
    <x:row r="366">
      <x:c r="A366" s="66" t="str">
        <x:v>365_21k_Mp1p45_Ap0_Op0p00001_sln</x:v>
      </x:c>
      <x:c r="B366" s="66" t="str">
        <x:v>21k</x:v>
      </x:c>
      <x:c r="C366" s="66" t="n">
        <x:v>1.45</x:v>
      </x:c>
      <x:c r="D366" s="66" t="n">
        <x:v>0</x:v>
      </x:c>
      <x:c r="E366" s="66" t="n">
        <x:v>0.00001</x:v>
      </x:c>
      <x:c r="F366" s="66" t="str">
        <x:v>slender-body</x:v>
      </x:c>
      <x:c r="G366" s="66" t="str">
        <x:v>FQRUP</x:v>
      </x:c>
      <x:c r="H366" s="66" t="str">
        <x:v>OK</x:v>
      </x:c>
      <x:c r="I366" s="66" t="n">
        <x:v>1</x:v>
      </x:c>
      <x:c r="J366" s="66" t="n">
        <x:v>0</x:v>
      </x:c>
      <x:c r="K366" s="66" t="n">
        <x:v>65.297</x:v>
      </x:c>
      <x:c r="L366" s="66" t="n">
        <x:v>0.0348674267126162</x:v>
      </x:c>
      <x:c r="M366" s="66" t="n">
        <x:v>-0.000352765042067848</x:v>
      </x:c>
      <x:c r="N366" s="66" t="n">
        <x:v>-0.00847740927133569</x:v>
      </x:c>
      <x:c r="O366" s="66" t="n">
        <x:v>0.0348674267126162</x:v>
      </x:c>
      <x:c r="P366" s="66" t="n">
        <x:v>-0.00847740927133569</x:v>
      </x:c>
      <x:c r="Q366" s="66" t="n">
        <x:v>8.95601324818922e-9</x:v>
      </x:c>
      <x:c r="R366" s="66" t="str">
        <x:v>C:\Users\admin\.codex\.chatgpt-projects\g-p-6910508be2a081919b9cb5881a96c92b\overnight_refinement_2026-08-27\reports\365_21k_Mp1p45_Ap0_Op0p00001_sln_report.json</x:v>
      </x:c>
    </x:row>
    <x:row r="367">
      <x:c r="A367" s="66" t="str">
        <x:v>366_21k_Mp1p45_Ap2_Op0p00001_sln</x:v>
      </x:c>
      <x:c r="B367" s="66" t="str">
        <x:v>21k</x:v>
      </x:c>
      <x:c r="C367" s="66" t="n">
        <x:v>1.45</x:v>
      </x:c>
      <x:c r="D367" s="66" t="n">
        <x:v>2</x:v>
      </x:c>
      <x:c r="E367" s="66" t="n">
        <x:v>0.00001</x:v>
      </x:c>
      <x:c r="F367" s="66" t="str">
        <x:v>slender-body</x:v>
      </x:c>
      <x:c r="G367" s="66" t="str">
        <x:v>FQRUP</x:v>
      </x:c>
      <x:c r="H367" s="66" t="str">
        <x:v>OK</x:v>
      </x:c>
      <x:c r="I367" s="66" t="n">
        <x:v>1</x:v>
      </x:c>
      <x:c r="J367" s="66" t="n">
        <x:v>0</x:v>
      </x:c>
      <x:c r="K367" s="66" t="n">
        <x:v>64.515</x:v>
      </x:c>
      <x:c r="L367" s="66" t="n">
        <x:v>0.0332596835074207</x:v>
      </x:c>
      <x:c r="M367" s="66" t="n">
        <x:v>0.00163813258569281</x:v>
      </x:c>
      <x:c r="N367" s="66" t="n">
        <x:v>0.00587873010974287</x:v>
      </x:c>
      <x:c r="O367" s="66" t="n">
        <x:v>0.0334445873289544</x:v>
      </x:c>
      <x:c r="P367" s="66" t="n">
        <x:v>0.00471440273130453</x:v>
      </x:c>
      <x:c r="Q367" s="66" t="n">
        <x:v>9.1855306814858e-9</x:v>
      </x:c>
      <x:c r="R367" s="66" t="str">
        <x:v>C:\Users\admin\.codex\.chatgpt-projects\g-p-6910508be2a081919b9cb5881a96c92b\overnight_refinement_2026-08-27\reports\366_21k_Mp1p45_Ap2_Op0p00001_sln_report.json</x:v>
      </x:c>
    </x:row>
    <x:row r="368">
      <x:c r="A368" s="66" t="str">
        <x:v>367_21k_Mp1p5_Am2_Op0p00001_sln</x:v>
      </x:c>
      <x:c r="B368" s="66" t="str">
        <x:v>21k</x:v>
      </x:c>
      <x:c r="C368" s="66" t="n">
        <x:v>1.5</x:v>
      </x:c>
      <x:c r="D368" s="66" t="n">
        <x:v>-2</x:v>
      </x:c>
      <x:c r="E368" s="66" t="n">
        <x:v>0.00001</x:v>
      </x:c>
      <x:c r="F368" s="66" t="str">
        <x:v>slender-body</x:v>
      </x:c>
      <x:c r="G368" s="66" t="str">
        <x:v>FQRUP</x:v>
      </x:c>
      <x:c r="H368" s="66" t="str">
        <x:v>OK</x:v>
      </x:c>
      <x:c r="I368" s="66" t="n">
        <x:v>1</x:v>
      </x:c>
      <x:c r="J368" s="66" t="n">
        <x:v>0</x:v>
      </x:c>
      <x:c r="K368" s="66" t="n">
        <x:v>59.625</x:v>
      </x:c>
      <x:c r="L368" s="66" t="n">
        <x:v>0.0334142777176955</x:v>
      </x:c>
      <x:c r="M368" s="66" t="n">
        <x:v>-0.0325234348979712</x:v>
      </x:c>
      <x:c r="N368" s="66" t="n">
        <x:v>0.0153542940662905</x:v>
      </x:c>
      <x:c r="O368" s="66" t="n">
        <x:v>0.0328580655073977</x:v>
      </x:c>
      <x:c r="P368" s="66" t="n">
        <x:v>0.0165110821202296</x:v>
      </x:c>
      <x:c r="Q368" s="66" t="n">
        <x:v>8.1655583131223e-9</x:v>
      </x:c>
      <x:c r="R368" s="66" t="str">
        <x:v>C:\Users\admin\.codex\.chatgpt-projects\g-p-6910508be2a081919b9cb5881a96c92b\overnight_refinement_2026-08-27\reports\367_21k_Mp1p5_Am2_Op0p00001_sln_report.json</x:v>
      </x:c>
    </x:row>
    <x:row r="369">
      <x:c r="A369" s="66" t="str">
        <x:v>368_21k_Mp1p5_Ap0_Op0p00001_sln</x:v>
      </x:c>
      <x:c r="B369" s="66" t="str">
        <x:v>21k</x:v>
      </x:c>
      <x:c r="C369" s="66" t="n">
        <x:v>1.5</x:v>
      </x:c>
      <x:c r="D369" s="66" t="n">
        <x:v>0</x:v>
      </x:c>
      <x:c r="E369" s="66" t="n">
        <x:v>0.00001</x:v>
      </x:c>
      <x:c r="F369" s="66" t="str">
        <x:v>slender-body</x:v>
      </x:c>
      <x:c r="G369" s="66" t="str">
        <x:v>FQRUP</x:v>
      </x:c>
      <x:c r="H369" s="66" t="str">
        <x:v>OK</x:v>
      </x:c>
      <x:c r="I369" s="66" t="n">
        <x:v>1</x:v>
      </x:c>
      <x:c r="J369" s="66" t="n">
        <x:v>0</x:v>
      </x:c>
      <x:c r="K369" s="66" t="n">
        <x:v>60</x:v>
      </x:c>
      <x:c r="L369" s="66" t="n">
        <x:v>0.0347547271194122</x:v>
      </x:c>
      <x:c r="M369" s="66" t="n">
        <x:v>-0.000621376568857673</x:v>
      </x:c>
      <x:c r="N369" s="66" t="n">
        <x:v>-0.00154639254154947</x:v>
      </x:c>
      <x:c r="O369" s="66" t="n">
        <x:v>0.0347547271194122</x:v>
      </x:c>
      <x:c r="P369" s="66" t="n">
        <x:v>-0.00154639254154947</x:v>
      </x:c>
      <x:c r="Q369" s="66" t="n">
        <x:v>8.89683895387988e-9</x:v>
      </x:c>
      <x:c r="R369" s="66" t="str">
        <x:v>C:\Users\admin\.codex\.chatgpt-projects\g-p-6910508be2a081919b9cb5881a96c92b\overnight_refinement_2026-08-27\reports\368_21k_Mp1p5_Ap0_Op0p00001_sln_report.json</x:v>
      </x:c>
    </x:row>
    <x:row r="370">
      <x:c r="A370" s="66" t="str">
        <x:v>369_21k_Mp1p5_Ap2_Op0p00001_sln</x:v>
      </x:c>
      <x:c r="B370" s="66" t="str">
        <x:v>21k</x:v>
      </x:c>
      <x:c r="C370" s="66" t="n">
        <x:v>1.5</x:v>
      </x:c>
      <x:c r="D370" s="66" t="n">
        <x:v>2</x:v>
      </x:c>
      <x:c r="E370" s="66" t="n">
        <x:v>0.00001</x:v>
      </x:c>
      <x:c r="F370" s="66" t="str">
        <x:v>slender-body</x:v>
      </x:c>
      <x:c r="G370" s="66" t="str">
        <x:v>FQRUP</x:v>
      </x:c>
      <x:c r="H370" s="66" t="str">
        <x:v>OK</x:v>
      </x:c>
      <x:c r="I370" s="66" t="n">
        <x:v>1</x:v>
      </x:c>
      <x:c r="J370" s="66" t="n">
        <x:v>0</x:v>
      </x:c>
      <x:c r="K370" s="66" t="n">
        <x:v>59.797</x:v>
      </x:c>
      <x:c r="L370" s="66" t="n">
        <x:v>0.035733558382403</x:v>
      </x:c>
      <x:c r="M370" s="66" t="n">
        <x:v>0.00320334556341576</x:v>
      </x:c>
      <x:c r="N370" s="66" t="n">
        <x:v>0.0145278363295337</x:v>
      </x:c>
      <x:c r="O370" s="66" t="n">
        <x:v>0.0362188046402019</x:v>
      </x:c>
      <x:c r="P370" s="66" t="n">
        <x:v>0.0132719031612355</x:v>
      </x:c>
      <x:c r="Q370" s="66" t="n">
        <x:v>8.57780416653619e-9</x:v>
      </x:c>
      <x:c r="R370" s="66" t="str">
        <x:v>C:\Users\admin\.codex\.chatgpt-projects\g-p-6910508be2a081919b9cb5881a96c92b\overnight_refinement_2026-08-27\reports\369_21k_Mp1p5_Ap2_Op0p00001_sln_report.json</x:v>
      </x:c>
    </x:row>
    <x:row r="371">
      <x:c r="A371" s="66" t="str">
        <x:v>370_21k_Mp1p55_Ap0_Op0p00001_sln</x:v>
      </x:c>
      <x:c r="B371" s="66" t="str">
        <x:v>21k</x:v>
      </x:c>
      <x:c r="C371" s="66" t="n">
        <x:v>1.55</x:v>
      </x:c>
      <x:c r="D371" s="66" t="n">
        <x:v>0</x:v>
      </x:c>
      <x:c r="E371" s="66" t="n">
        <x:v>0.00001</x:v>
      </x:c>
      <x:c r="F371" s="66" t="str">
        <x:v>slender-body</x:v>
      </x:c>
      <x:c r="G371" s="66" t="str">
        <x:v>FQRUP</x:v>
      </x:c>
      <x:c r="H371" s="66" t="str">
        <x:v>OK</x:v>
      </x:c>
      <x:c r="I371" s="66" t="n">
        <x:v>1</x:v>
      </x:c>
      <x:c r="J371" s="66" t="n">
        <x:v>0</x:v>
      </x:c>
      <x:c r="K371" s="66" t="n">
        <x:v>55.859</x:v>
      </x:c>
      <x:c r="L371" s="66" t="n">
        <x:v>0.0352216181739837</x:v>
      </x:c>
      <x:c r="M371" s="66" t="n">
        <x:v>-0.059506260052627</x:v>
      </x:c>
      <x:c r="N371" s="66" t="n">
        <x:v>0.057114637445049</x:v>
      </x:c>
      <x:c r="O371" s="66" t="n">
        <x:v>0.0352216181739837</x:v>
      </x:c>
      <x:c r="P371" s="66" t="n">
        <x:v>0.057114637445049</x:v>
      </x:c>
      <x:c r="Q371" s="66" t="n">
        <x:v>8.31293213732688e-9</x:v>
      </x:c>
      <x:c r="R371" s="66" t="str">
        <x:v>C:\Users\admin\.codex\.chatgpt-projects\g-p-6910508be2a081919b9cb5881a96c92b\overnight_refinement_2026-08-27\reports\370_21k_Mp1p55_Ap0_Op0p00001_sln_report.json</x:v>
      </x:c>
    </x:row>
    <x:row r="372">
      <x:c r="A372" s="66" t="str">
        <x:v>R001_7k_Mp1p2_Am1p5_Op0p00001_ise</x:v>
      </x:c>
      <x:c r="B372" s="66" t="str">
        <x:v>7k</x:v>
      </x:c>
      <x:c r="C372" s="66" t="n">
        <x:v>1.2</x:v>
      </x:c>
      <x:c r="D372" s="66" t="n">
        <x:v>-1.5</x:v>
      </x:c>
      <x:c r="E372" s="66" t="n">
        <x:v>0.00001</x:v>
      </x:c>
      <x:c r="F372" s="66" t="str">
        <x:v>isentropic</x:v>
      </x:c>
      <x:c r="G372" s="66" t="str">
        <x:v>FQRUP</x:v>
      </x:c>
      <x:c r="H372" s="66" t="str">
        <x:v>OK</x:v>
      </x:c>
      <x:c r="I372" s="66" t="n">
        <x:v>1</x:v>
      </x:c>
      <x:c r="J372" s="66" t="n">
        <x:v>0</x:v>
      </x:c>
      <x:c r="K372" s="66" t="n">
        <x:v>8.938</x:v>
      </x:c>
      <x:c r="L372" s="66" t="n">
        <x:v>0.0563881576673844</x:v>
      </x:c>
      <x:c r="M372" s="66" t="n">
        <x:v>-0.00194987051627075</x:v>
      </x:c>
      <x:c r="N372" s="66" t="n">
        <x:v>0.0101547963366207</x:v>
      </x:c>
      <x:c r="O372" s="66" t="n">
        <x:v>0.0561030132752968</x:v>
      </x:c>
      <x:c r="P372" s="66" t="n">
        <x:v>0.0116273864299732</x:v>
      </x:c>
      <x:c r="Q372" s="66" t="n">
        <x:v>5.56048442050535e-9</x:v>
      </x:c>
      <x:c r="R372" s="66" t="str">
        <x:v>C:\Users\admin\.codex\.chatgpt-projects\g-p-6910508be2a081919b9cb5881a96c92b\overnight_refinement_2026-08-27\reports\R001_7k_Mp1p2_Am1p5_Op0p00001_ise_report.json</x:v>
      </x:c>
    </x:row>
    <x:row r="373">
      <x:c r="A373" s="66" t="str">
        <x:v>R002_7k_Mp1p2_Am1p5_Op0p0001_ise</x:v>
      </x:c>
      <x:c r="B373" s="66" t="str">
        <x:v>7k</x:v>
      </x:c>
      <x:c r="C373" s="66" t="n">
        <x:v>1.2</x:v>
      </x:c>
      <x:c r="D373" s="66" t="n">
        <x:v>-1.5</x:v>
      </x:c>
      <x:c r="E373" s="66" t="n">
        <x:v>0.0001</x:v>
      </x:c>
      <x:c r="F373" s="66" t="str">
        <x:v>isentropic</x:v>
      </x:c>
      <x:c r="G373" s="66" t="str">
        <x:v>FQRUP</x:v>
      </x:c>
      <x:c r="H373" s="66" t="str">
        <x:v>OK</x:v>
      </x:c>
      <x:c r="I373" s="66" t="n">
        <x:v>1</x:v>
      </x:c>
      <x:c r="J373" s="66" t="n">
        <x:v>0</x:v>
      </x:c>
      <x:c r="K373" s="66" t="n">
        <x:v>8.968</x:v>
      </x:c>
      <x:c r="L373" s="66" t="n">
        <x:v>0.0563873118373531</x:v>
      </x:c>
      <x:c r="M373" s="66" t="n">
        <x:v>-0.00195101887336379</x:v>
      </x:c>
      <x:c r="N373" s="66" t="n">
        <x:v>0.0101541174130178</x:v>
      </x:c>
      <x:c r="O373" s="66" t="n">
        <x:v>0.0561021855072583</x:v>
      </x:c>
      <x:c r="P373" s="66" t="n">
        <x:v>0.0116266855977714</x:v>
      </x:c>
      <x:c r="Q373" s="66" t="n">
        <x:v>5.5627120830787e-8</x:v>
      </x:c>
      <x:c r="R373" s="66" t="str">
        <x:v>C:\Users\admin\.codex\.chatgpt-projects\g-p-6910508be2a081919b9cb5881a96c92b\overnight_refinement_2026-08-27\reports\R002_7k_Mp1p2_Am1p5_Op0p0001_ise_report.json</x:v>
      </x:c>
    </x:row>
    <x:row r="374">
      <x:c r="A374" s="66" t="str">
        <x:v>R003_7k_Mp1p2_Am1_Op0p00001_ise</x:v>
      </x:c>
      <x:c r="B374" s="66" t="str">
        <x:v>7k</x:v>
      </x:c>
      <x:c r="C374" s="66" t="n">
        <x:v>1.2</x:v>
      </x:c>
      <x:c r="D374" s="66" t="n">
        <x:v>-1</x:v>
      </x:c>
      <x:c r="E374" s="66" t="n">
        <x:v>0.00001</x:v>
      </x:c>
      <x:c r="F374" s="66" t="str">
        <x:v>isentropic</x:v>
      </x:c>
      <x:c r="G374" s="66" t="str">
        <x:v>FQRUP</x:v>
      </x:c>
      <x:c r="H374" s="66" t="str">
        <x:v>OK</x:v>
      </x:c>
      <x:c r="I374" s="66" t="n">
        <x:v>1</x:v>
      </x:c>
      <x:c r="J374" s="66" t="n">
        <x:v>0</x:v>
      </x:c>
      <x:c r="K374" s="66" t="n">
        <x:v>9.109</x:v>
      </x:c>
      <x:c r="L374" s="66" t="n">
        <x:v>0.0573229013505295</x:v>
      </x:c>
      <x:c r="M374" s="66" t="n">
        <x:v>-0.00172089474324689</x:v>
      </x:c>
      <x:c r="N374" s="66" t="n">
        <x:v>0.00963553442266085</x:v>
      </x:c>
      <x:c r="O374" s="66" t="n">
        <x:v>0.0571460075320194</x:v>
      </x:c>
      <x:c r="P374" s="66" t="n">
        <x:v>0.0106344894566313</x:v>
      </x:c>
      <x:c r="Q374" s="66" t="n">
        <x:v>5.60058080589688e-9</x:v>
      </x:c>
      <x:c r="R374" s="66" t="str">
        <x:v>C:\Users\admin\.codex\.chatgpt-projects\g-p-6910508be2a081919b9cb5881a96c92b\overnight_refinement_2026-08-27\reports\R003_7k_Mp1p2_Am1_Op0p00001_ise_report.json</x:v>
      </x:c>
    </x:row>
    <x:row r="375">
      <x:c r="A375" s="66" t="str">
        <x:v>R004_7k_Mp1p2_Am1_Op0p0001_ise</x:v>
      </x:c>
      <x:c r="B375" s="66" t="str">
        <x:v>7k</x:v>
      </x:c>
      <x:c r="C375" s="66" t="n">
        <x:v>1.2</x:v>
      </x:c>
      <x:c r="D375" s="66" t="n">
        <x:v>-1</x:v>
      </x:c>
      <x:c r="E375" s="66" t="n">
        <x:v>0.0001</x:v>
      </x:c>
      <x:c r="F375" s="66" t="str">
        <x:v>isentropic</x:v>
      </x:c>
      <x:c r="G375" s="66" t="str">
        <x:v>FQRUP</x:v>
      </x:c>
      <x:c r="H375" s="66" t="str">
        <x:v>OK</x:v>
      </x:c>
      <x:c r="I375" s="66" t="n">
        <x:v>1</x:v>
      </x:c>
      <x:c r="J375" s="66" t="n">
        <x:v>0</x:v>
      </x:c>
      <x:c r="K375" s="66" t="n">
        <x:v>9.063</x:v>
      </x:c>
      <x:c r="L375" s="66" t="n">
        <x:v>0.0573199141599433</x:v>
      </x:c>
      <x:c r="M375" s="66" t="n">
        <x:v>-0.00172409635985577</x:v>
      </x:c>
      <x:c r="N375" s="66" t="n">
        <x:v>0.00963434549499398</x:v>
      </x:c>
      <x:c r="O375" s="66" t="n">
        <x:v>0.0571430415460457</x:v>
      </x:c>
      <x:c r="P375" s="66" t="n">
        <x:v>0.0106332485763796</x:v>
      </x:c>
      <x:c r="Q375" s="66" t="n">
        <x:v>5.6023044675902e-8</x:v>
      </x:c>
      <x:c r="R375" s="66" t="str">
        <x:v>C:\Users\admin\.codex\.chatgpt-projects\g-p-6910508be2a081919b9cb5881a96c92b\overnight_refinement_2026-08-27\reports\R004_7k_Mp1p2_Am1_Op0p0001_ise_report.json</x:v>
      </x:c>
    </x:row>
    <x:row r="376">
      <x:c r="A376" s="66" t="str">
        <x:v>R005_7k_Mp1p2_Am0p5_Op0p00001_ise</x:v>
      </x:c>
      <x:c r="B376" s="66" t="str">
        <x:v>7k</x:v>
      </x:c>
      <x:c r="C376" s="66" t="n">
        <x:v>1.2</x:v>
      </x:c>
      <x:c r="D376" s="66" t="n">
        <x:v>-0.5</x:v>
      </x:c>
      <x:c r="E376" s="66" t="n">
        <x:v>0.00001</x:v>
      </x:c>
      <x:c r="F376" s="66" t="str">
        <x:v>isentropic</x:v>
      </x:c>
      <x:c r="G376" s="66" t="str">
        <x:v>FQRUP</x:v>
      </x:c>
      <x:c r="H376" s="66" t="str">
        <x:v>OK</x:v>
      </x:c>
      <x:c r="I376" s="66" t="n">
        <x:v>1</x:v>
      </x:c>
      <x:c r="J376" s="66" t="n">
        <x:v>0</x:v>
      </x:c>
      <x:c r="K376" s="66" t="n">
        <x:v>9.125</x:v>
      </x:c>
      <x:c r="L376" s="66" t="n">
        <x:v>0.0581497226157403</x:v>
      </x:c>
      <x:c r="M376" s="66" t="n">
        <x:v>-0.00191135992074535</x:v>
      </x:c>
      <x:c r="N376" s="66" t="n">
        <x:v>0.00853814129410262</x:v>
      </x:c>
      <x:c r="O376" s="66" t="n">
        <x:v>0.0580730000593907</x:v>
      </x:c>
      <x:c r="P376" s="66" t="n">
        <x:v>0.00904526180647132</x:v>
      </x:c>
      <x:c r="Q376" s="66" t="n">
        <x:v>5.64295004057367e-9</x:v>
      </x:c>
      <x:c r="R376" s="66" t="str">
        <x:v>C:\Users\admin\.codex\.chatgpt-projects\g-p-6910508be2a081919b9cb5881a96c92b\overnight_refinement_2026-08-27\reports\R005_7k_Mp1p2_Am0p5_Op0p00001_ise_report.json</x:v>
      </x:c>
    </x:row>
    <x:row r="377">
      <x:c r="A377" s="66" t="str">
        <x:v>R006_7k_Mp1p2_Am0p5_Op0p0001_ise</x:v>
      </x:c>
      <x:c r="B377" s="66" t="str">
        <x:v>7k</x:v>
      </x:c>
      <x:c r="C377" s="66" t="n">
        <x:v>1.2</x:v>
      </x:c>
      <x:c r="D377" s="66" t="n">
        <x:v>-0.5</x:v>
      </x:c>
      <x:c r="E377" s="66" t="n">
        <x:v>0.0001</x:v>
      </x:c>
      <x:c r="F377" s="66" t="str">
        <x:v>isentropic</x:v>
      </x:c>
      <x:c r="G377" s="66" t="str">
        <x:v>FQRUP</x:v>
      </x:c>
      <x:c r="H377" s="66" t="str">
        <x:v>OK</x:v>
      </x:c>
      <x:c r="I377" s="66" t="n">
        <x:v>1</x:v>
      </x:c>
      <x:c r="J377" s="66" t="n">
        <x:v>0</x:v>
      </x:c>
      <x:c r="K377" s="66" t="n">
        <x:v>9.14</x:v>
      </x:c>
      <x:c r="L377" s="66" t="n">
        <x:v>0.0581472318971723</x:v>
      </x:c>
      <x:c r="M377" s="66" t="n">
        <x:v>-0.00191193751239929</x:v>
      </x:c>
      <x:c r="N377" s="66" t="n">
        <x:v>0.00854328959405627</x:v>
      </x:c>
      <x:c r="O377" s="66" t="n">
        <x:v>0.0580704645088393</x:v>
      </x:c>
      <x:c r="P377" s="66" t="n">
        <x:v>0.00905038817504949</x:v>
      </x:c>
      <x:c r="Q377" s="66" t="n">
        <x:v>5.64416780642771e-8</x:v>
      </x:c>
      <x:c r="R377" s="66" t="str">
        <x:v>C:\Users\admin\.codex\.chatgpt-projects\g-p-6910508be2a081919b9cb5881a96c92b\overnight_refinement_2026-08-27\reports\R006_7k_Mp1p2_Am0p5_Op0p0001_ise_report.json</x:v>
      </x:c>
    </x:row>
    <x:row r="378">
      <x:c r="A378" s="66" t="str">
        <x:v>R007_7k_Mp1p2_Ap0p5_Op0p00001_ise</x:v>
      </x:c>
      <x:c r="B378" s="66" t="str">
        <x:v>7k</x:v>
      </x:c>
      <x:c r="C378" s="66" t="n">
        <x:v>1.2</x:v>
      </x:c>
      <x:c r="D378" s="66" t="n">
        <x:v>0.5</x:v>
      </x:c>
      <x:c r="E378" s="66" t="n">
        <x:v>0.00001</x:v>
      </x:c>
      <x:c r="F378" s="66" t="str">
        <x:v>isentropic</x:v>
      </x:c>
      <x:c r="G378" s="66" t="str">
        <x:v>FQRUP</x:v>
      </x:c>
      <x:c r="H378" s="66" t="str">
        <x:v>OK</x:v>
      </x:c>
      <x:c r="I378" s="66" t="n">
        <x:v>1</x:v>
      </x:c>
      <x:c r="J378" s="66" t="n">
        <x:v>0</x:v>
      </x:c>
      <x:c r="K378" s="66" t="n">
        <x:v>8.953</x:v>
      </x:c>
      <x:c r="L378" s="66" t="n">
        <x:v>0.0593128893872423</x:v>
      </x:c>
      <x:c r="M378" s="66" t="n">
        <x:v>-0.00155149731683562</x:v>
      </x:c>
      <x:c r="N378" s="66" t="n">
        <x:v>0.00452539237652426</x:v>
      </x:c>
      <x:c r="O378" s="66" t="n">
        <x:v>0.0593501219313771</x:v>
      </x:c>
      <x:c r="P378" s="66" t="n">
        <x:v>0.00400762402870024</x:v>
      </x:c>
      <x:c r="Q378" s="66" t="n">
        <x:v>5.73528962126802e-9</x:v>
      </x:c>
      <x:c r="R378" s="66" t="str">
        <x:v>C:\Users\admin\.codex\.chatgpt-projects\g-p-6910508be2a081919b9cb5881a96c92b\overnight_refinement_2026-08-27\reports\R007_7k_Mp1p2_Ap0p5_Op0p00001_ise_report.json</x:v>
      </x:c>
    </x:row>
    <x:row r="379">
      <x:c r="A379" s="66" t="str">
        <x:v>R008_7k_Mp1p2_Ap0p5_Op0p0001_ise</x:v>
      </x:c>
      <x:c r="B379" s="66" t="str">
        <x:v>7k</x:v>
      </x:c>
      <x:c r="C379" s="66" t="n">
        <x:v>1.2</x:v>
      </x:c>
      <x:c r="D379" s="66" t="n">
        <x:v>0.5</x:v>
      </x:c>
      <x:c r="E379" s="66" t="n">
        <x:v>0.0001</x:v>
      </x:c>
      <x:c r="F379" s="66" t="str">
        <x:v>isentropic</x:v>
      </x:c>
      <x:c r="G379" s="66" t="str">
        <x:v>FQRUP</x:v>
      </x:c>
      <x:c r="H379" s="66" t="str">
        <x:v>OK</x:v>
      </x:c>
      <x:c r="I379" s="66" t="n">
        <x:v>1</x:v>
      </x:c>
      <x:c r="J379" s="66" t="n">
        <x:v>0</x:v>
      </x:c>
      <x:c r="K379" s="66" t="n">
        <x:v>8.953</x:v>
      </x:c>
      <x:c r="L379" s="66" t="n">
        <x:v>0.0593098607238345</x:v>
      </x:c>
      <x:c r="M379" s="66" t="n">
        <x:v>-0.00155571213074762</x:v>
      </x:c>
      <x:c r="N379" s="66" t="n">
        <x:v>0.00453428487786374</x:v>
      </x:c>
      <x:c r="O379" s="66" t="n">
        <x:v>0.0593471709840201</x:v>
      </x:c>
      <x:c r="P379" s="66" t="n">
        <x:v>0.00401654262117926</x:v>
      </x:c>
      <x:c r="Q379" s="66" t="n">
        <x:v>5.73548909075744e-8</x:v>
      </x:c>
      <x:c r="R379" s="66" t="str">
        <x:v>C:\Users\admin\.codex\.chatgpt-projects\g-p-6910508be2a081919b9cb5881a96c92b\overnight_refinement_2026-08-27\reports\R008_7k_Mp1p2_Ap0p5_Op0p0001_ise_report.json</x:v>
      </x:c>
    </x:row>
    <x:row r="380">
      <x:c r="A380" s="66" t="str">
        <x:v>R009_7k_Mp1p2_Ap1_Op0p00001_ise</x:v>
      </x:c>
      <x:c r="B380" s="66" t="str">
        <x:v>7k</x:v>
      </x:c>
      <x:c r="C380" s="66" t="n">
        <x:v>1.2</x:v>
      </x:c>
      <x:c r="D380" s="66" t="n">
        <x:v>1</x:v>
      </x:c>
      <x:c r="E380" s="66" t="n">
        <x:v>0.00001</x:v>
      </x:c>
      <x:c r="F380" s="66" t="str">
        <x:v>isentropic</x:v>
      </x:c>
      <x:c r="G380" s="66" t="str">
        <x:v>FQRUP</x:v>
      </x:c>
      <x:c r="H380" s="66" t="str">
        <x:v>OK</x:v>
      </x:c>
      <x:c r="I380" s="66" t="n">
        <x:v>1</x:v>
      </x:c>
      <x:c r="J380" s="66" t="n">
        <x:v>0</x:v>
      </x:c>
      <x:c r="K380" s="66" t="n">
        <x:v>8.859</x:v>
      </x:c>
      <x:c r="L380" s="66" t="n">
        <x:v>0.0594241490900327</x:v>
      </x:c>
      <x:c r="M380" s="66" t="n">
        <x:v>-0.00106034524958771</x:v>
      </x:c>
      <x:c r="N380" s="66" t="n">
        <x:v>0.00189022030126555</x:v>
      </x:c>
      <x:c r="O380" s="66" t="n">
        <x:v>0.0594480873972527</x:v>
      </x:c>
      <x:c r="P380" s="66" t="n">
        <x:v>0.000852838009449198</x:v>
      </x:c>
      <x:c r="Q380" s="66" t="n">
        <x:v>5.78432159698449e-9</x:v>
      </x:c>
      <x:c r="R380" s="66" t="str">
        <x:v>C:\Users\admin\.codex\.chatgpt-projects\g-p-6910508be2a081919b9cb5881a96c92b\overnight_refinement_2026-08-27\reports\R009_7k_Mp1p2_Ap1_Op0p00001_ise_report.json</x:v>
      </x:c>
    </x:row>
    <x:row r="381">
      <x:c r="A381" s="66" t="str">
        <x:v>R010_7k_Mp1p2_Ap1_Op0p0001_ise</x:v>
      </x:c>
      <x:c r="B381" s="66" t="str">
        <x:v>7k</x:v>
      </x:c>
      <x:c r="C381" s="66" t="n">
        <x:v>1.2</x:v>
      </x:c>
      <x:c r="D381" s="66" t="n">
        <x:v>1</x:v>
      </x:c>
      <x:c r="E381" s="66" t="n">
        <x:v>0.0001</x:v>
      </x:c>
      <x:c r="F381" s="66" t="str">
        <x:v>isentropic</x:v>
      </x:c>
      <x:c r="G381" s="66" t="str">
        <x:v>FQRUP</x:v>
      </x:c>
      <x:c r="H381" s="66" t="str">
        <x:v>OK</x:v>
      </x:c>
      <x:c r="I381" s="66" t="n">
        <x:v>1</x:v>
      </x:c>
      <x:c r="J381" s="66" t="n">
        <x:v>0</x:v>
      </x:c>
      <x:c r="K381" s="66" t="n">
        <x:v>8.906</x:v>
      </x:c>
      <x:c r="L381" s="66" t="n">
        <x:v>0.0594271732802863</x:v>
      </x:c>
      <x:c r="M381" s="66" t="n">
        <x:v>-0.00105864448543598</x:v>
      </x:c>
      <x:c r="N381" s="66" t="n">
        <x:v>0.00188599056507613</x:v>
      </x:c>
      <x:c r="O381" s="66" t="n">
        <x:v>0.0594510373078323</x:v>
      </x:c>
      <x:c r="P381" s="66" t="n">
        <x:v>0.000848556138071637</x:v>
      </x:c>
      <x:c r="Q381" s="66" t="n">
        <x:v>5.78400764945857e-8</x:v>
      </x:c>
      <x:c r="R381" s="66" t="str">
        <x:v>C:\Users\admin\.codex\.chatgpt-projects\g-p-6910508be2a081919b9cb5881a96c92b\overnight_refinement_2026-08-27\reports\R010_7k_Mp1p2_Ap1_Op0p0001_ise_report.json</x:v>
      </x:c>
    </x:row>
    <x:row r="382">
      <x:c r="A382" s="66" t="str">
        <x:v>R011_7k_Mp1p2_Ap1p25_Op0p00001_ise</x:v>
      </x:c>
      <x:c r="B382" s="66" t="str">
        <x:v>7k</x:v>
      </x:c>
      <x:c r="C382" s="66" t="n">
        <x:v>1.2</x:v>
      </x:c>
      <x:c r="D382" s="66" t="n">
        <x:v>1.25</x:v>
      </x:c>
      <x:c r="E382" s="66" t="n">
        <x:v>0.00001</x:v>
      </x:c>
      <x:c r="F382" s="66" t="str">
        <x:v>isentropic</x:v>
      </x:c>
      <x:c r="G382" s="66" t="str">
        <x:v>FQRUP</x:v>
      </x:c>
      <x:c r="H382" s="66" t="str">
        <x:v>OK</x:v>
      </x:c>
      <x:c r="I382" s="66" t="n">
        <x:v>1</x:v>
      </x:c>
      <x:c r="J382" s="66" t="n">
        <x:v>0</x:v>
      </x:c>
      <x:c r="K382" s="66" t="n">
        <x:v>8.89</x:v>
      </x:c>
      <x:c r="L382" s="66" t="n">
        <x:v>0.0592649138082956</x:v>
      </x:c>
      <x:c r="M382" s="66" t="n">
        <x:v>-0.000813123559693325</x:v>
      </x:c>
      <x:c r="N382" s="66" t="n">
        <x:v>0.000700425909346085</x:v>
      </x:c>
      <x:c r="O382" s="66" t="n">
        <x:v>0.0592660900743853</x:v>
      </x:c>
      <x:c r="P382" s="66" t="n">
        <x:v>-0.000592598054364012</x:v>
      </x:c>
      <x:c r="Q382" s="66" t="n">
        <x:v>5.82320956705547e-9</x:v>
      </x:c>
      <x:c r="R382" s="66" t="str">
        <x:v>C:\Users\admin\.codex\.chatgpt-projects\g-p-6910508be2a081919b9cb5881a96c92b\overnight_refinement_2026-08-27\reports\R011_7k_Mp1p2_Ap1p25_Op0p00001_ise_report.json</x:v>
      </x:c>
    </x:row>
    <x:row r="383">
      <x:c r="A383" s="66" t="str">
        <x:v>R012_7k_Mp1p2_Ap1p25_Op0p0001_ise</x:v>
      </x:c>
      <x:c r="B383" s="66" t="str">
        <x:v>7k</x:v>
      </x:c>
      <x:c r="C383" s="66" t="n">
        <x:v>1.2</x:v>
      </x:c>
      <x:c r="D383" s="66" t="n">
        <x:v>1.25</x:v>
      </x:c>
      <x:c r="E383" s="66" t="n">
        <x:v>0.0001</x:v>
      </x:c>
      <x:c r="F383" s="66" t="str">
        <x:v>isentropic</x:v>
      </x:c>
      <x:c r="G383" s="66" t="str">
        <x:v>FQRUP</x:v>
      </x:c>
      <x:c r="H383" s="66" t="str">
        <x:v>OK</x:v>
      </x:c>
      <x:c r="I383" s="66" t="n">
        <x:v>1</x:v>
      </x:c>
      <x:c r="J383" s="66" t="n">
        <x:v>0</x:v>
      </x:c>
      <x:c r="K383" s="66" t="n">
        <x:v>8.922</x:v>
      </x:c>
      <x:c r="L383" s="66" t="n">
        <x:v>0.0592656867150397</x:v>
      </x:c>
      <x:c r="M383" s="66" t="n">
        <x:v>-0.000811919665530457</x:v>
      </x:c>
      <x:c r="N383" s="66" t="n">
        <x:v>0.00070309024550662</x:v>
      </x:c>
      <x:c r="O383" s="66" t="n">
        <x:v>0.0592669209193856</x:v>
      </x:c>
      <x:c r="P383" s="66" t="n">
        <x:v>-0.000589951213115098</x:v>
      </x:c>
      <x:c r="Q383" s="66" t="n">
        <x:v>5.82283024756992e-8</x:v>
      </x:c>
      <x:c r="R383" s="66" t="str">
        <x:v>C:\Users\admin\.codex\.chatgpt-projects\g-p-6910508be2a081919b9cb5881a96c92b\overnight_refinement_2026-08-27\reports\R012_7k_Mp1p2_Ap1p25_Op0p0001_ise_report.json</x:v>
      </x:c>
    </x:row>
    <x:row r="384">
      <x:c r="A384" s="66" t="str">
        <x:v>R013_7k_Mp1p2_Ap1p5_Op0p00001_ise</x:v>
      </x:c>
      <x:c r="B384" s="66" t="str">
        <x:v>7k</x:v>
      </x:c>
      <x:c r="C384" s="66" t="n">
        <x:v>1.2</x:v>
      </x:c>
      <x:c r="D384" s="66" t="n">
        <x:v>1.5</x:v>
      </x:c>
      <x:c r="E384" s="66" t="n">
        <x:v>0.00001</x:v>
      </x:c>
      <x:c r="F384" s="66" t="str">
        <x:v>isentropic</x:v>
      </x:c>
      <x:c r="G384" s="66" t="str">
        <x:v>FQRUP</x:v>
      </x:c>
      <x:c r="H384" s="66" t="str">
        <x:v>OK</x:v>
      </x:c>
      <x:c r="I384" s="66" t="n">
        <x:v>1</x:v>
      </x:c>
      <x:c r="J384" s="66" t="n">
        <x:v>0</x:v>
      </x:c>
      <x:c r="K384" s="66" t="n">
        <x:v>8.922</x:v>
      </x:c>
      <x:c r="L384" s="66" t="n">
        <x:v>0.0589987410053083</x:v>
      </x:c>
      <x:c r="M384" s="66" t="n">
        <x:v>-0.000605682788653464</x:v>
      </x:c>
      <x:c r="N384" s="66" t="n">
        <x:v>-0.000459887715456995</x:v>
      </x:c>
      <x:c r="O384" s="66" t="n">
        <x:v>0.0589664851533373</x:v>
      </x:c>
      <x:c r="P384" s="66" t="n">
        <x:v>-0.00200413711694841</x:v>
      </x:c>
      <x:c r="Q384" s="66" t="n">
        <x:v>5.84924409001446e-9</x:v>
      </x:c>
      <x:c r="R384" s="66" t="str">
        <x:v>C:\Users\admin\.codex\.chatgpt-projects\g-p-6910508be2a081919b9cb5881a96c92b\overnight_refinement_2026-08-27\reports\R013_7k_Mp1p2_Ap1p5_Op0p00001_ise_report.json</x:v>
      </x:c>
    </x:row>
    <x:row r="385">
      <x:c r="A385" s="66" t="str">
        <x:v>R014_7k_Mp1p2_Ap1p5_Op0p0001_ise</x:v>
      </x:c>
      <x:c r="B385" s="66" t="str">
        <x:v>7k</x:v>
      </x:c>
      <x:c r="C385" s="66" t="n">
        <x:v>1.2</x:v>
      </x:c>
      <x:c r="D385" s="66" t="n">
        <x:v>1.5</x:v>
      </x:c>
      <x:c r="E385" s="66" t="n">
        <x:v>0.0001</x:v>
      </x:c>
      <x:c r="F385" s="66" t="str">
        <x:v>isentropic</x:v>
      </x:c>
      <x:c r="G385" s="66" t="str">
        <x:v>FQRUP</x:v>
      </x:c>
      <x:c r="H385" s="66" t="str">
        <x:v>OK</x:v>
      </x:c>
      <x:c r="I385" s="66" t="n">
        <x:v>1</x:v>
      </x:c>
      <x:c r="J385" s="66" t="n">
        <x:v>0</x:v>
      </x:c>
      <x:c r="K385" s="66" t="n">
        <x:v>8.953</x:v>
      </x:c>
      <x:c r="L385" s="66" t="n">
        <x:v>0.058997957536298</x:v>
      </x:c>
      <x:c r="M385" s="66" t="n">
        <x:v>-0.000605044001591415</x:v>
      </x:c>
      <x:c r="N385" s="66" t="n">
        <x:v>-0.00045428798500866</x:v>
      </x:c>
      <x:c r="O385" s="66" t="n">
        <x:v>0.0589658485366567</x:v>
      </x:c>
      <x:c r="P385" s="66" t="n">
        <x:v>-0.00199851879656006</x:v>
      </x:c>
      <x:c r="Q385" s="66" t="n">
        <x:v>5.84860747270978e-8</x:v>
      </x:c>
      <x:c r="R385" s="66" t="str">
        <x:v>C:\Users\admin\.codex\.chatgpt-projects\g-p-6910508be2a081919b9cb5881a96c92b\overnight_refinement_2026-08-27\reports\R014_7k_Mp1p2_Ap1p5_Op0p0001_ise_report.json</x:v>
      </x:c>
    </x:row>
    <x:row r="386">
      <x:c r="A386" s="66" t="str">
        <x:v>R015_7k_Mp1p25_Am1p5_Op0p00001_ise</x:v>
      </x:c>
      <x:c r="B386" s="66" t="str">
        <x:v>7k</x:v>
      </x:c>
      <x:c r="C386" s="66" t="n">
        <x:v>1.25</x:v>
      </x:c>
      <x:c r="D386" s="66" t="n">
        <x:v>-1.5</x:v>
      </x:c>
      <x:c r="E386" s="66" t="n">
        <x:v>0.00001</x:v>
      </x:c>
      <x:c r="F386" s="66" t="str">
        <x:v>isentropic</x:v>
      </x:c>
      <x:c r="G386" s="66" t="str">
        <x:v>FQRUP</x:v>
      </x:c>
      <x:c r="H386" s="66" t="str">
        <x:v>OK</x:v>
      </x:c>
      <x:c r="I386" s="66" t="n">
        <x:v>1</x:v>
      </x:c>
      <x:c r="J386" s="66" t="n">
        <x:v>0</x:v>
      </x:c>
      <x:c r="K386" s="66" t="n">
        <x:v>8.484</x:v>
      </x:c>
      <x:c r="L386" s="66" t="n">
        <x:v>0.054707869921437</x:v>
      </x:c>
      <x:c r="M386" s="66" t="n">
        <x:v>0.000277805031148505</x:v>
      </x:c>
      <x:c r="N386" s="66" t="n">
        <x:v>0.00866430463928213</x:v>
      </x:c>
      <x:c r="O386" s="66" t="n">
        <x:v>0.0544623178461083</x:v>
      </x:c>
      <x:c r="P386" s="66" t="n">
        <x:v>0.0100934206814454</x:v>
      </x:c>
      <x:c r="Q386" s="66" t="n">
        <x:v>5.80180299525525e-9</x:v>
      </x:c>
      <x:c r="R386" s="66" t="str">
        <x:v>C:\Users\admin\.codex\.chatgpt-projects\g-p-6910508be2a081919b9cb5881a96c92b\overnight_refinement_2026-08-27\reports\R015_7k_Mp1p25_Am1p5_Op0p00001_ise_report.json</x:v>
      </x:c>
    </x:row>
    <x:row r="387">
      <x:c r="A387" s="66" t="str">
        <x:v>R016_7k_Mp1p25_Am1p5_Op0p0001_ise</x:v>
      </x:c>
      <x:c r="B387" s="66" t="str">
        <x:v>7k</x:v>
      </x:c>
      <x:c r="C387" s="66" t="n">
        <x:v>1.25</x:v>
      </x:c>
      <x:c r="D387" s="66" t="n">
        <x:v>-1.5</x:v>
      </x:c>
      <x:c r="E387" s="66" t="n">
        <x:v>0.0001</x:v>
      </x:c>
      <x:c r="F387" s="66" t="str">
        <x:v>isentropic</x:v>
      </x:c>
      <x:c r="G387" s="66" t="str">
        <x:v>FQRUP</x:v>
      </x:c>
      <x:c r="H387" s="66" t="str">
        <x:v>OK</x:v>
      </x:c>
      <x:c r="I387" s="66" t="n">
        <x:v>1</x:v>
      </x:c>
      <x:c r="J387" s="66" t="n">
        <x:v>0</x:v>
      </x:c>
      <x:c r="K387" s="66" t="n">
        <x:v>8.515</x:v>
      </x:c>
      <x:c r="L387" s="66" t="n">
        <x:v>0.054702289789607</x:v>
      </x:c>
      <x:c r="M387" s="66" t="n">
        <x:v>0.000269734503403051</x:v>
      </x:c>
      <x:c r="N387" s="66" t="n">
        <x:v>0.00866340623565994</x:v>
      </x:c>
      <x:c r="O387" s="66" t="n">
        <x:v>0.0544567631439153</x:v>
      </x:c>
      <x:c r="P387" s="66" t="n">
        <x:v>0.0100923765148612</x:v>
      </x:c>
      <x:c r="Q387" s="66" t="n">
        <x:v>5.80676973073669e-8</x:v>
      </x:c>
      <x:c r="R387" s="66" t="str">
        <x:v>C:\Users\admin\.codex\.chatgpt-projects\g-p-6910508be2a081919b9cb5881a96c92b\overnight_refinement_2026-08-27\reports\R016_7k_Mp1p25_Am1p5_Op0p0001_ise_report.json</x:v>
      </x:c>
    </x:row>
    <x:row r="388">
      <x:c r="A388" s="66" t="str">
        <x:v>R017_7k_Mp1p25_Am1_Op0p00001_ise</x:v>
      </x:c>
      <x:c r="B388" s="66" t="str">
        <x:v>7k</x:v>
      </x:c>
      <x:c r="C388" s="66" t="n">
        <x:v>1.25</x:v>
      </x:c>
      <x:c r="D388" s="66" t="n">
        <x:v>-1</x:v>
      </x:c>
      <x:c r="E388" s="66" t="n">
        <x:v>0.00001</x:v>
      </x:c>
      <x:c r="F388" s="66" t="str">
        <x:v>isentropic</x:v>
      </x:c>
      <x:c r="G388" s="66" t="str">
        <x:v>FQRUP</x:v>
      </x:c>
      <x:c r="H388" s="66" t="str">
        <x:v>OK</x:v>
      </x:c>
      <x:c r="I388" s="66" t="n">
        <x:v>1</x:v>
      </x:c>
      <x:c r="J388" s="66" t="n">
        <x:v>0</x:v>
      </x:c>
      <x:c r="K388" s="66" t="n">
        <x:v>8.516</x:v>
      </x:c>
      <x:c r="L388" s="66" t="n">
        <x:v>0.0557466985190337</x:v>
      </x:c>
      <x:c r="M388" s="66" t="n">
        <x:v>0.00000376533330146931</x:v>
      </x:c>
      <x:c r="N388" s="66" t="n">
        <x:v>0.00617821361365784</x:v>
      </x:c>
      <x:c r="O388" s="66" t="n">
        <x:v>0.0556303833317921</x:v>
      </x:c>
      <x:c r="P388" s="66" t="n">
        <x:v>0.00715018668189052</x:v>
      </x:c>
      <x:c r="Q388" s="66" t="n">
        <x:v>5.85350657546634e-9</x:v>
      </x:c>
      <x:c r="R388" s="66" t="str">
        <x:v>C:\Users\admin\.codex\.chatgpt-projects\g-p-6910508be2a081919b9cb5881a96c92b\overnight_refinement_2026-08-27\reports\R017_7k_Mp1p25_Am1_Op0p00001_ise_report.json</x:v>
      </x:c>
    </x:row>
    <x:row r="389">
      <x:c r="A389" s="66" t="str">
        <x:v>R018_7k_Mp1p25_Am1_Op0p0001_ise</x:v>
      </x:c>
      <x:c r="B389" s="66" t="str">
        <x:v>7k</x:v>
      </x:c>
      <x:c r="C389" s="66" t="n">
        <x:v>1.25</x:v>
      </x:c>
      <x:c r="D389" s="66" t="n">
        <x:v>-1</x:v>
      </x:c>
      <x:c r="E389" s="66" t="n">
        <x:v>0.0001</x:v>
      </x:c>
      <x:c r="F389" s="66" t="str">
        <x:v>isentropic</x:v>
      </x:c>
      <x:c r="G389" s="66" t="str">
        <x:v>FQRUP</x:v>
      </x:c>
      <x:c r="H389" s="66" t="str">
        <x:v>OK</x:v>
      </x:c>
      <x:c r="I389" s="66" t="n">
        <x:v>1</x:v>
      </x:c>
      <x:c r="J389" s="66" t="n">
        <x:v>0</x:v>
      </x:c>
      <x:c r="K389" s="66" t="n">
        <x:v>8.516</x:v>
      </x:c>
      <x:c r="L389" s="66" t="n">
        <x:v>0.0557412927416382</x:v>
      </x:c>
      <x:c r="M389" s="66" t="n">
        <x:v>0.00000473125563869586</x:v>
      </x:c>
      <x:c r="N389" s="66" t="n">
        <x:v>0.00617526100070132</x:v>
      </x:c>
      <x:c r="O389" s="66" t="n">
        <x:v>0.0556250299079241</x:v>
      </x:c>
      <x:c r="P389" s="66" t="n">
        <x:v>0.00714714017480704</x:v>
      </x:c>
      <x:c r="Q389" s="66" t="n">
        <x:v>5.85801595731871e-8</x:v>
      </x:c>
      <x:c r="R389" s="66" t="str">
        <x:v>C:\Users\admin\.codex\.chatgpt-projects\g-p-6910508be2a081919b9cb5881a96c92b\overnight_refinement_2026-08-27\reports\R018_7k_Mp1p25_Am1_Op0p0001_ise_report.json</x:v>
      </x:c>
    </x:row>
    <x:row r="390">
      <x:c r="A390" s="66" t="str">
        <x:v>R019_7k_Mp1p25_Am0p5_Op0p00001_ise</x:v>
      </x:c>
      <x:c r="B390" s="66" t="str">
        <x:v>7k</x:v>
      </x:c>
      <x:c r="C390" s="66" t="n">
        <x:v>1.25</x:v>
      </x:c>
      <x:c r="D390" s="66" t="n">
        <x:v>-0.5</x:v>
      </x:c>
      <x:c r="E390" s="66" t="n">
        <x:v>0.00001</x:v>
      </x:c>
      <x:c r="F390" s="66" t="str">
        <x:v>isentropic</x:v>
      </x:c>
      <x:c r="G390" s="66" t="str">
        <x:v>FQRUP</x:v>
      </x:c>
      <x:c r="H390" s="66" t="str">
        <x:v>OK</x:v>
      </x:c>
      <x:c r="I390" s="66" t="n">
        <x:v>1</x:v>
      </x:c>
      <x:c r="J390" s="66" t="n">
        <x:v>0</x:v>
      </x:c>
      <x:c r="K390" s="66" t="n">
        <x:v>8.469</x:v>
      </x:c>
      <x:c r="L390" s="66" t="n">
        <x:v>0.0564080635929065</x:v>
      </x:c>
      <x:c r="M390" s="66" t="n">
        <x:v>-0.000532784620367423</x:v>
      </x:c>
      <x:c r="N390" s="66" t="n">
        <x:v>0.00338589978228347</x:v>
      </x:c>
      <x:c r="O390" s="66" t="n">
        <x:v>0.0563763685720448</x:v>
      </x:c>
      <x:c r="P390" s="66" t="n">
        <x:v>0.00387801782693277</x:v>
      </x:c>
      <x:c r="Q390" s="66" t="n">
        <x:v>5.90864046703198e-9</x:v>
      </x:c>
      <x:c r="R390" s="66" t="str">
        <x:v>C:\Users\admin\.codex\.chatgpt-projects\g-p-6910508be2a081919b9cb5881a96c92b\overnight_refinement_2026-08-27\reports\R019_7k_Mp1p25_Am0p5_Op0p00001_ise_report.json</x:v>
      </x:c>
    </x:row>
    <x:row r="391">
      <x:c r="A391" s="66" t="str">
        <x:v>R020_7k_Mp1p25_Am0p5_Op0p0001_ise</x:v>
      </x:c>
      <x:c r="B391" s="66" t="str">
        <x:v>7k</x:v>
      </x:c>
      <x:c r="C391" s="66" t="n">
        <x:v>1.25</x:v>
      </x:c>
      <x:c r="D391" s="66" t="n">
        <x:v>-0.5</x:v>
      </x:c>
      <x:c r="E391" s="66" t="n">
        <x:v>0.0001</x:v>
      </x:c>
      <x:c r="F391" s="66" t="str">
        <x:v>isentropic</x:v>
      </x:c>
      <x:c r="G391" s="66" t="str">
        <x:v>FQRUP</x:v>
      </x:c>
      <x:c r="H391" s="66" t="str">
        <x:v>OK</x:v>
      </x:c>
      <x:c r="I391" s="66" t="n">
        <x:v>1</x:v>
      </x:c>
      <x:c r="J391" s="66" t="n">
        <x:v>0</x:v>
      </x:c>
      <x:c r="K391" s="66" t="n">
        <x:v>8.453</x:v>
      </x:c>
      <x:c r="L391" s="66" t="n">
        <x:v>0.056403255931651</x:v>
      </x:c>
      <x:c r="M391" s="66" t="n">
        <x:v>-0.000536925350141473</x:v>
      </x:c>
      <x:c r="N391" s="66" t="n">
        <x:v>0.00338780830768733</x:v>
      </x:c>
      <x:c r="O391" s="66" t="n">
        <x:v>0.0563715444390356</x:v>
      </x:c>
      <x:c r="P391" s="66" t="n">
        <x:v>0.00387988432543922</x:v>
      </x:c>
      <x:c r="Q391" s="66" t="n">
        <x:v>5.91268654438992e-8</x:v>
      </x:c>
      <x:c r="R391" s="66" t="str">
        <x:v>C:\Users\admin\.codex\.chatgpt-projects\g-p-6910508be2a081919b9cb5881a96c92b\overnight_refinement_2026-08-27\reports\R020_7k_Mp1p25_Am0p5_Op0p0001_ise_report.json</x:v>
      </x:c>
    </x:row>
    <x:row r="392">
      <x:c r="A392" s="66" t="str">
        <x:v>R021_7k_Mp1p25_Am0p25_Op0p00001_ise</x:v>
      </x:c>
      <x:c r="B392" s="66" t="str">
        <x:v>7k</x:v>
      </x:c>
      <x:c r="C392" s="66" t="n">
        <x:v>1.25</x:v>
      </x:c>
      <x:c r="D392" s="66" t="n">
        <x:v>-0.25</x:v>
      </x:c>
      <x:c r="E392" s="66" t="n">
        <x:v>0.00001</x:v>
      </x:c>
      <x:c r="F392" s="66" t="str">
        <x:v>isentropic</x:v>
      </x:c>
      <x:c r="G392" s="66" t="str">
        <x:v>FQRUP</x:v>
      </x:c>
      <x:c r="H392" s="66" t="str">
        <x:v>OK</x:v>
      </x:c>
      <x:c r="I392" s="66" t="n">
        <x:v>1</x:v>
      </x:c>
      <x:c r="J392" s="66" t="n">
        <x:v>0</x:v>
      </x:c>
      <x:c r="K392" s="66" t="n">
        <x:v>8.453</x:v>
      </x:c>
      <x:c r="L392" s="66" t="n">
        <x:v>0.0566013357322311</x:v>
      </x:c>
      <x:c r="M392" s="66" t="n">
        <x:v>-0.000836251565692127</x:v>
      </x:c>
      <x:c r="N392" s="66" t="n">
        <x:v>0.00193605755514673</x:v>
      </x:c>
      <x:c r="O392" s="66" t="n">
        <x:v>0.0565923493104033</x:v>
      </x:c>
      <x:c r="P392" s="66" t="n">
        <x:v>0.00218300825900369</x:v>
      </x:c>
      <x:c r="Q392" s="66" t="n">
        <x:v>5.93741836152287e-9</x:v>
      </x:c>
      <x:c r="R392" s="66" t="str">
        <x:v>C:\Users\admin\.codex\.chatgpt-projects\g-p-6910508be2a081919b9cb5881a96c92b\overnight_refinement_2026-08-27\reports\R021_7k_Mp1p25_Am0p25_Op0p00001_ise_report.json</x:v>
      </x:c>
    </x:row>
    <x:row r="393">
      <x:c r="A393" s="66" t="str">
        <x:v>R022_7k_Mp1p25_Am0p25_Op0p0001_ise</x:v>
      </x:c>
      <x:c r="B393" s="66" t="str">
        <x:v>7k</x:v>
      </x:c>
      <x:c r="C393" s="66" t="n">
        <x:v>1.25</x:v>
      </x:c>
      <x:c r="D393" s="66" t="n">
        <x:v>-0.25</x:v>
      </x:c>
      <x:c r="E393" s="66" t="n">
        <x:v>0.0001</x:v>
      </x:c>
      <x:c r="F393" s="66" t="str">
        <x:v>isentropic</x:v>
      </x:c>
      <x:c r="G393" s="66" t="str">
        <x:v>FQRUP</x:v>
      </x:c>
      <x:c r="H393" s="66" t="str">
        <x:v>OK</x:v>
      </x:c>
      <x:c r="I393" s="66" t="n">
        <x:v>1</x:v>
      </x:c>
      <x:c r="J393" s="66" t="n">
        <x:v>0</x:v>
      </x:c>
      <x:c r="K393" s="66" t="n">
        <x:v>8.609</x:v>
      </x:c>
      <x:c r="L393" s="66" t="n">
        <x:v>0.0565983560185564</x:v>
      </x:c>
      <x:c r="M393" s="66" t="n">
        <x:v>-0.000843453523028995</x:v>
      </x:c>
      <x:c r="N393" s="66" t="n">
        <x:v>0.00194012563542502</x:v>
      </x:c>
      <x:c r="O393" s="66" t="n">
        <x:v>0.0565893518748009</x:v>
      </x:c>
      <x:c r="P393" s="66" t="n">
        <x:v>0.00218706329914445</x:v>
      </x:c>
      <x:c r="Q393" s="66" t="n">
        <x:v>5.94122742071846e-8</x:v>
      </x:c>
      <x:c r="R393" s="66" t="str">
        <x:v>C:\Users\admin\.codex\.chatgpt-projects\g-p-6910508be2a081919b9cb5881a96c92b\overnight_refinement_2026-08-27\reports\R022_7k_Mp1p25_Am0p25_Op0p0001_ise_report.json</x:v>
      </x:c>
    </x:row>
    <x:row r="394">
      <x:c r="A394" s="66" t="str">
        <x:v>R023_7k_Mp1p25_Ap0p25_Op0p00001_ise</x:v>
      </x:c>
      <x:c r="B394" s="66" t="str">
        <x:v>7k</x:v>
      </x:c>
      <x:c r="C394" s="66" t="n">
        <x:v>1.25</x:v>
      </x:c>
      <x:c r="D394" s="66" t="n">
        <x:v>0.25</x:v>
      </x:c>
      <x:c r="E394" s="66" t="n">
        <x:v>0.00001</x:v>
      </x:c>
      <x:c r="F394" s="66" t="str">
        <x:v>isentropic</x:v>
      </x:c>
      <x:c r="G394" s="66" t="str">
        <x:v>FQRUP</x:v>
      </x:c>
      <x:c r="H394" s="66" t="str">
        <x:v>OK</x:v>
      </x:c>
      <x:c r="I394" s="66" t="n">
        <x:v>1</x:v>
      </x:c>
      <x:c r="J394" s="66" t="n">
        <x:v>0</x:v>
      </x:c>
      <x:c r="K394" s="66" t="n">
        <x:v>8.485</x:v>
      </x:c>
      <x:c r="L394" s="66" t="n">
        <x:v>0.0567774721942063</x:v>
      </x:c>
      <x:c r="M394" s="66" t="n">
        <x:v>-0.00159930128441994</x:v>
      </x:c>
      <x:c r="N394" s="66" t="n">
        <x:v>-0.000809008728578919</x:v>
      </x:c>
      <x:c r="O394" s="66" t="n">
        <x:v>0.0567734017582956</x:v>
      </x:c>
      <x:c r="P394" s="66" t="n">
        <x:v>-0.00105673869898832</x:v>
      </x:c>
      <x:c r="Q394" s="66" t="n">
        <x:v>5.99752270868332e-9</x:v>
      </x:c>
      <x:c r="R394" s="66" t="str">
        <x:v>C:\Users\admin\.codex\.chatgpt-projects\g-p-6910508be2a081919b9cb5881a96c92b\overnight_refinement_2026-08-27\reports\R023_7k_Mp1p25_Ap0p25_Op0p00001_ise_report.json</x:v>
      </x:c>
    </x:row>
    <x:row r="395">
      <x:c r="A395" s="66" t="str">
        <x:v>R024_7k_Mp1p25_Ap0p25_Op0p0001_ise</x:v>
      </x:c>
      <x:c r="B395" s="66" t="str">
        <x:v>7k</x:v>
      </x:c>
      <x:c r="C395" s="66" t="n">
        <x:v>1.25</x:v>
      </x:c>
      <x:c r="D395" s="66" t="n">
        <x:v>0.25</x:v>
      </x:c>
      <x:c r="E395" s="66" t="n">
        <x:v>0.0001</x:v>
      </x:c>
      <x:c r="F395" s="66" t="str">
        <x:v>isentropic</x:v>
      </x:c>
      <x:c r="G395" s="66" t="str">
        <x:v>FQRUP</x:v>
      </x:c>
      <x:c r="H395" s="66" t="str">
        <x:v>OK</x:v>
      </x:c>
      <x:c r="I395" s="66" t="n">
        <x:v>1</x:v>
      </x:c>
      <x:c r="J395" s="66" t="n">
        <x:v>0</x:v>
      </x:c>
      <x:c r="K395" s="66" t="n">
        <x:v>8.578</x:v>
      </x:c>
      <x:c r="L395" s="66" t="n">
        <x:v>0.0567731453126743</x:v>
      </x:c>
      <x:c r="M395" s="66" t="n">
        <x:v>-0.00160035988508844</x:v>
      </x:c>
      <x:c r="N395" s="66" t="n">
        <x:v>-0.000798654598568706</x:v>
      </x:c>
      <x:c r="O395" s="66" t="n">
        <x:v>0.056769120096224</x:v>
      </x:c>
      <x:c r="P395" s="66" t="n">
        <x:v>-0.0010463657880196</x:v>
      </x:c>
      <x:c r="Q395" s="66" t="n">
        <x:v>6.00085326940395e-8</x:v>
      </x:c>
      <x:c r="R395" s="66" t="str">
        <x:v>C:\Users\admin\.codex\.chatgpt-projects\g-p-6910508be2a081919b9cb5881a96c92b\overnight_refinement_2026-08-27\reports\R024_7k_Mp1p25_Ap0p25_Op0p0001_ise_report.json</x:v>
      </x:c>
    </x:row>
    <x:row r="396">
      <x:c r="A396" s="66" t="str">
        <x:v>R025_7k_Mp1p25_Ap0p5_Op0p00001_ise</x:v>
      </x:c>
      <x:c r="B396" s="66" t="str">
        <x:v>7k</x:v>
      </x:c>
      <x:c r="C396" s="66" t="n">
        <x:v>1.25</x:v>
      </x:c>
      <x:c r="D396" s="66" t="n">
        <x:v>0.5</x:v>
      </x:c>
      <x:c r="E396" s="66" t="n">
        <x:v>0.00001</x:v>
      </x:c>
      <x:c r="F396" s="66" t="str">
        <x:v>isentropic</x:v>
      </x:c>
      <x:c r="G396" s="66" t="str">
        <x:v>FQRUP</x:v>
      </x:c>
      <x:c r="H396" s="66" t="str">
        <x:v>OK</x:v>
      </x:c>
      <x:c r="I396" s="66" t="n">
        <x:v>1</x:v>
      </x:c>
      <x:c r="J396" s="66" t="n">
        <x:v>0</x:v>
      </x:c>
      <x:c r="K396" s="66" t="n">
        <x:v>8.468</x:v>
      </x:c>
      <x:c r="L396" s="66" t="n">
        <x:v>0.0567653819519144</x:v>
      </x:c>
      <x:c r="M396" s="66" t="n">
        <x:v>-0.00183428503729055</x:v>
      </x:c>
      <x:c r="N396" s="66" t="n">
        <x:v>-0.00210822079698909</x:v>
      </x:c>
      <x:c r="O396" s="66" t="n">
        <x:v>0.0567448230364852</x:v>
      </x:c>
      <x:c r="P396" s="66" t="n">
        <x:v>-0.00260350564308323</x:v>
      </x:c>
      <x:c r="Q396" s="66" t="n">
        <x:v>6.02884747463628e-9</x:v>
      </x:c>
      <x:c r="R396" s="66" t="str">
        <x:v>C:\Users\admin\.codex\.chatgpt-projects\g-p-6910508be2a081919b9cb5881a96c92b\overnight_refinement_2026-08-27\reports\R025_7k_Mp1p25_Ap0p5_Op0p00001_ise_report.json</x:v>
      </x:c>
    </x:row>
    <x:row r="397">
      <x:c r="A397" s="66" t="str">
        <x:v>R026_7k_Mp1p25_Ap0p5_Op0p0001_ise</x:v>
      </x:c>
      <x:c r="B397" s="66" t="str">
        <x:v>7k</x:v>
      </x:c>
      <x:c r="C397" s="66" t="n">
        <x:v>1.25</x:v>
      </x:c>
      <x:c r="D397" s="66" t="n">
        <x:v>0.5</x:v>
      </x:c>
      <x:c r="E397" s="66" t="n">
        <x:v>0.0001</x:v>
      </x:c>
      <x:c r="F397" s="66" t="str">
        <x:v>isentropic</x:v>
      </x:c>
      <x:c r="G397" s="66" t="str">
        <x:v>FQRUP</x:v>
      </x:c>
      <x:c r="H397" s="66" t="str">
        <x:v>OK</x:v>
      </x:c>
      <x:c r="I397" s="66" t="n">
        <x:v>1</x:v>
      </x:c>
      <x:c r="J397" s="66" t="n">
        <x:v>0</x:v>
      </x:c>
      <x:c r="K397" s="66" t="n">
        <x:v>8.562</x:v>
      </x:c>
      <x:c r="L397" s="66" t="n">
        <x:v>0.0567651158483004</x:v>
      </x:c>
      <x:c r="M397" s="66" t="n">
        <x:v>-0.00183523462041368</x:v>
      </x:c>
      <x:c r="N397" s="66" t="n">
        <x:v>-0.00208780461242731</x:v>
      </x:c>
      <x:c r="O397" s="66" t="n">
        <x:v>0.0567447351055629</x:v>
      </x:c>
      <x:c r="P397" s="66" t="n">
        <x:v>-0.00258308791374456</x:v>
      </x:c>
      <x:c r="Q397" s="66" t="n">
        <x:v>6.03193445245776e-8</x:v>
      </x:c>
      <x:c r="R397" s="66" t="str">
        <x:v>C:\Users\admin\.codex\.chatgpt-projects\g-p-6910508be2a081919b9cb5881a96c92b\overnight_refinement_2026-08-27\reports\R026_7k_Mp1p25_Ap0p5_Op0p0001_ise_report.json</x:v>
      </x:c>
    </x:row>
    <x:row r="398">
      <x:c r="A398" s="66" t="str">
        <x:v>R027_7k_Mp1p25_Ap1_Op0p00001_ise</x:v>
      </x:c>
      <x:c r="B398" s="66" t="str">
        <x:v>7k</x:v>
      </x:c>
      <x:c r="C398" s="66" t="n">
        <x:v>1.25</x:v>
      </x:c>
      <x:c r="D398" s="66" t="n">
        <x:v>1</x:v>
      </x:c>
      <x:c r="E398" s="66" t="n">
        <x:v>0.00001</x:v>
      </x:c>
      <x:c r="F398" s="66" t="str">
        <x:v>isentropic</x:v>
      </x:c>
      <x:c r="G398" s="66" t="str">
        <x:v>FQRUP</x:v>
      </x:c>
      <x:c r="H398" s="66" t="str">
        <x:v>OK</x:v>
      </x:c>
      <x:c r="I398" s="66" t="n">
        <x:v>1</x:v>
      </x:c>
      <x:c r="J398" s="66" t="n">
        <x:v>0</x:v>
      </x:c>
      <x:c r="K398" s="66" t="n">
        <x:v>8.469</x:v>
      </x:c>
      <x:c r="L398" s="66" t="n">
        <x:v>0.0562997163632042</x:v>
      </x:c>
      <x:c r="M398" s="66" t="n">
        <x:v>-0.00176243605271334</x:v>
      </x:c>
      <x:c r="N398" s="66" t="n">
        <x:v>-0.00406223037990192</x:v>
      </x:c>
      <x:c r="O398" s="66" t="n">
        <x:v>0.0562202459480764</x:v>
      </x:c>
      <x:c r="P398" s="66" t="n">
        <x:v>-0.00504417721481363</x:v>
      </x:c>
      <x:c r="Q398" s="66" t="n">
        <x:v>6.09405367219347e-9</x:v>
      </x:c>
      <x:c r="R398" s="66" t="str">
        <x:v>C:\Users\admin\.codex\.chatgpt-projects\g-p-6910508be2a081919b9cb5881a96c92b\overnight_refinement_2026-08-27\reports\R027_7k_Mp1p25_Ap1_Op0p00001_ise_report.json</x:v>
      </x:c>
    </x:row>
    <x:row r="399">
      <x:c r="A399" s="66" t="str">
        <x:v>R028_7k_Mp1p25_Ap1_Op0p0001_ise</x:v>
      </x:c>
      <x:c r="B399" s="66" t="str">
        <x:v>7k</x:v>
      </x:c>
      <x:c r="C399" s="66" t="n">
        <x:v>1.25</x:v>
      </x:c>
      <x:c r="D399" s="66" t="n">
        <x:v>1</x:v>
      </x:c>
      <x:c r="E399" s="66" t="n">
        <x:v>0.0001</x:v>
      </x:c>
      <x:c r="F399" s="66" t="str">
        <x:v>isentropic</x:v>
      </x:c>
      <x:c r="G399" s="66" t="str">
        <x:v>FQRUP</x:v>
      </x:c>
      <x:c r="H399" s="66" t="str">
        <x:v>OK</x:v>
      </x:c>
      <x:c r="I399" s="66" t="n">
        <x:v>1</x:v>
      </x:c>
      <x:c r="J399" s="66" t="n">
        <x:v>0</x:v>
      </x:c>
      <x:c r="K399" s="66" t="n">
        <x:v>8.438</x:v>
      </x:c>
      <x:c r="L399" s="66" t="n">
        <x:v>0.0562948852785241</x:v>
      </x:c>
      <x:c r="M399" s="66" t="n">
        <x:v>-0.00176102128751051</x:v>
      </x:c>
      <x:c r="N399" s="66" t="n">
        <x:v>-0.00403328301340764</x:v>
      </x:c>
      <x:c r="O399" s="66" t="n">
        <x:v>0.0562159208003992</x:v>
      </x:c>
      <x:c r="P399" s="66" t="n">
        <x:v>-0.0050151499430901</x:v>
      </x:c>
      <x:c r="Q399" s="66" t="n">
        <x:v>6.09664609540867e-8</x:v>
      </x:c>
      <x:c r="R399" s="66" t="str">
        <x:v>C:\Users\admin\.codex\.chatgpt-projects\g-p-6910508be2a081919b9cb5881a96c92b\overnight_refinement_2026-08-27\reports\R028_7k_Mp1p25_Ap1_Op0p0001_ise_report.json</x:v>
      </x:c>
    </x:row>
    <x:row r="400">
      <x:c r="A400" s="66" t="str">
        <x:v>R029_7k_Mp1p25_Ap1p5_Op0p00001_ise</x:v>
      </x:c>
      <x:c r="B400" s="66" t="str">
        <x:v>7k</x:v>
      </x:c>
      <x:c r="C400" s="66" t="n">
        <x:v>1.25</x:v>
      </x:c>
      <x:c r="D400" s="66" t="n">
        <x:v>1.5</x:v>
      </x:c>
      <x:c r="E400" s="66" t="n">
        <x:v>0.00001</x:v>
      </x:c>
      <x:c r="F400" s="66" t="str">
        <x:v>isentropic</x:v>
      </x:c>
      <x:c r="G400" s="66" t="str">
        <x:v>FQRUP</x:v>
      </x:c>
      <x:c r="H400" s="66" t="str">
        <x:v>OK</x:v>
      </x:c>
      <x:c r="I400" s="66" t="n">
        <x:v>1</x:v>
      </x:c>
      <x:c r="J400" s="66" t="n">
        <x:v>0</x:v>
      </x:c>
      <x:c r="K400" s="66" t="n">
        <x:v>8.359</x:v>
      </x:c>
      <x:c r="L400" s="66" t="n">
        <x:v>0.0557707438640924</x:v>
      </x:c>
      <x:c r="M400" s="66" t="n">
        <x:v>-0.00166357456592823</x:v>
      </x:c>
      <x:c r="N400" s="66" t="n">
        <x:v>-0.00387652209531761</x:v>
      </x:c>
      <x:c r="O400" s="66" t="n">
        <x:v>0.0556501571045721</x:v>
      </x:c>
      <x:c r="P400" s="66" t="n">
        <x:v>-0.00533510158723582</x:v>
      </x:c>
      <x:c r="Q400" s="66" t="n">
        <x:v>6.16267535037984e-9</x:v>
      </x:c>
      <x:c r="R400" s="66" t="str">
        <x:v>C:\Users\admin\.codex\.chatgpt-projects\g-p-6910508be2a081919b9cb5881a96c92b\overnight_refinement_2026-08-27\reports\R029_7k_Mp1p25_Ap1p5_Op0p00001_ise_report.json</x:v>
      </x:c>
    </x:row>
    <x:row r="401">
      <x:c r="A401" s="66" t="str">
        <x:v>R030_7k_Mp1p25_Ap1p5_Op0p0001_ise</x:v>
      </x:c>
      <x:c r="B401" s="66" t="str">
        <x:v>7k</x:v>
      </x:c>
      <x:c r="C401" s="66" t="n">
        <x:v>1.25</x:v>
      </x:c>
      <x:c r="D401" s="66" t="n">
        <x:v>1.5</x:v>
      </x:c>
      <x:c r="E401" s="66" t="n">
        <x:v>0.0001</x:v>
      </x:c>
      <x:c r="F401" s="66" t="str">
        <x:v>isentropic</x:v>
      </x:c>
      <x:c r="G401" s="66" t="str">
        <x:v>FQRUP</x:v>
      </x:c>
      <x:c r="H401" s="66" t="str">
        <x:v>OK</x:v>
      </x:c>
      <x:c r="I401" s="66" t="n">
        <x:v>1</x:v>
      </x:c>
      <x:c r="J401" s="66" t="n">
        <x:v>0</x:v>
      </x:c>
      <x:c r="K401" s="66" t="n">
        <x:v>8.36</x:v>
      </x:c>
      <x:c r="L401" s="66" t="n">
        <x:v>0.0557657273728197</x:v>
      </x:c>
      <x:c r="M401" s="66" t="n">
        <x:v>-0.00166218232423193</x:v>
      </x:c>
      <x:c r="N401" s="66" t="n">
        <x:v>-0.00385632282904261</x:v>
      </x:c>
      <x:c r="O401" s="66" t="n">
        <x:v>0.0556456710874748</x:v>
      </x:c>
      <x:c r="P401" s="66" t="n">
        <x:v>-0.00531477792631216</x:v>
      </x:c>
      <x:c r="Q401" s="66" t="n">
        <x:v>6.16476198214995e-8</x:v>
      </x:c>
      <x:c r="R401" s="66" t="str">
        <x:v>C:\Users\admin\.codex\.chatgpt-projects\g-p-6910508be2a081919b9cb5881a96c92b\overnight_refinement_2026-08-27\reports\R030_7k_Mp1p25_Ap1p5_Op0p0001_ise_report.json</x:v>
      </x:c>
    </x:row>
    <x:row r="402">
      <x:c r="A402" s="66" t="str">
        <x:v>R031_7k_Mp1p5_Am1p75_Op0p00001_ise</x:v>
      </x:c>
      <x:c r="B402" s="66" t="str">
        <x:v>7k</x:v>
      </x:c>
      <x:c r="C402" s="66" t="n">
        <x:v>1.5</x:v>
      </x:c>
      <x:c r="D402" s="66" t="n">
        <x:v>-1.75</x:v>
      </x:c>
      <x:c r="E402" s="66" t="n">
        <x:v>0.00001</x:v>
      </x:c>
      <x:c r="F402" s="66" t="str">
        <x:v>isentropic</x:v>
      </x:c>
      <x:c r="G402" s="66" t="str">
        <x:v>FQRUP</x:v>
      </x:c>
      <x:c r="H402" s="66" t="str">
        <x:v>OK</x:v>
      </x:c>
      <x:c r="I402" s="66" t="n">
        <x:v>1</x:v>
      </x:c>
      <x:c r="J402" s="66" t="n">
        <x:v>0</x:v>
      </x:c>
      <x:c r="K402" s="66" t="n">
        <x:v>6.562</x:v>
      </x:c>
      <x:c r="L402" s="66" t="n">
        <x:v>0.0532031272318731</x:v>
      </x:c>
      <x:c r="M402" s="66" t="n">
        <x:v>0.00101174611398955</x:v>
      </x:c>
      <x:c r="N402" s="66" t="n">
        <x:v>0.00417666970117005</x:v>
      </x:c>
      <x:c r="O402" s="66" t="n">
        <x:v>0.0530507635229744</x:v>
      </x:c>
      <x:c r="P402" s="66" t="n">
        <x:v>0.00579946606792383</x:v>
      </x:c>
      <x:c r="Q402" s="66" t="n">
        <x:v>4.67031918366306e-9</x:v>
      </x:c>
      <x:c r="R402" s="66" t="str">
        <x:v>C:\Users\admin\.codex\.chatgpt-projects\g-p-6910508be2a081919b9cb5881a96c92b\overnight_refinement_2026-08-27\reports\R031_7k_Mp1p5_Am1p75_Op0p00001_ise_report.json</x:v>
      </x:c>
    </x:row>
    <x:row r="403">
      <x:c r="A403" s="66" t="str">
        <x:v>R032_7k_Mp1p5_Am1p75_Op0p0001_ise</x:v>
      </x:c>
      <x:c r="B403" s="66" t="str">
        <x:v>7k</x:v>
      </x:c>
      <x:c r="C403" s="66" t="n">
        <x:v>1.5</x:v>
      </x:c>
      <x:c r="D403" s="66" t="n">
        <x:v>-1.75</x:v>
      </x:c>
      <x:c r="E403" s="66" t="n">
        <x:v>0.0001</x:v>
      </x:c>
      <x:c r="F403" s="66" t="str">
        <x:v>isentropic</x:v>
      </x:c>
      <x:c r="G403" s="66" t="str">
        <x:v>FQRUP</x:v>
      </x:c>
      <x:c r="H403" s="66" t="str">
        <x:v>OK</x:v>
      </x:c>
      <x:c r="I403" s="66" t="n">
        <x:v>1</x:v>
      </x:c>
      <x:c r="J403" s="66" t="n">
        <x:v>0</x:v>
      </x:c>
      <x:c r="K403" s="66" t="n">
        <x:v>6.515</x:v>
      </x:c>
      <x:c r="L403" s="66" t="n">
        <x:v>0.0531982243466562</x:v>
      </x:c>
      <x:c r="M403" s="66" t="n">
        <x:v>0.00101501734406603</x:v>
      </x:c>
      <x:c r="N403" s="66" t="n">
        <x:v>0.00417573048364339</x:v>
      </x:c>
      <x:c r="O403" s="66" t="n">
        <x:v>0.0530458916068149</x:v>
      </x:c>
      <x:c r="P403" s="66" t="n">
        <x:v>0.00579837756163187</x:v>
      </x:c>
      <x:c r="Q403" s="66" t="n">
        <x:v>4.69173015780383e-8</x:v>
      </x:c>
      <x:c r="R403" s="66" t="str">
        <x:v>C:\Users\admin\.codex\.chatgpt-projects\g-p-6910508be2a081919b9cb5881a96c92b\overnight_refinement_2026-08-27\reports\R032_7k_Mp1p5_Am1p75_Op0p0001_ise_report.json</x:v>
      </x:c>
    </x:row>
    <x:row r="404">
      <x:c r="A404" s="66" t="str">
        <x:v>R033_7k_Mp1p5_Am1p5_Op0p00001_ise</x:v>
      </x:c>
      <x:c r="B404" s="66" t="str">
        <x:v>7k</x:v>
      </x:c>
      <x:c r="C404" s="66" t="n">
        <x:v>1.5</x:v>
      </x:c>
      <x:c r="D404" s="66" t="n">
        <x:v>-1.5</x:v>
      </x:c>
      <x:c r="E404" s="66" t="n">
        <x:v>0.00001</x:v>
      </x:c>
      <x:c r="F404" s="66" t="str">
        <x:v>isentropic</x:v>
      </x:c>
      <x:c r="G404" s="66" t="str">
        <x:v>FQRUP</x:v>
      </x:c>
      <x:c r="H404" s="66" t="str">
        <x:v>OK</x:v>
      </x:c>
      <x:c r="I404" s="66" t="n">
        <x:v>1</x:v>
      </x:c>
      <x:c r="J404" s="66" t="n">
        <x:v>0</x:v>
      </x:c>
      <x:c r="K404" s="66" t="n">
        <x:v>6.563</x:v>
      </x:c>
      <x:c r="L404" s="66" t="n">
        <x:v>0.0532545649620948</x:v>
      </x:c>
      <x:c r="M404" s="66" t="n">
        <x:v>0.00101156493995628</x:v>
      </x:c>
      <x:c r="N404" s="66" t="n">
        <x:v>0.00216541891958922</x:v>
      </x:c>
      <x:c r="O404" s="66" t="n">
        <x:v>0.0531796318936217</x:v>
      </x:c>
      <x:c r="P404" s="66" t="n">
        <x:v>0.00355871887877905</x:v>
      </x:c>
      <x:c r="Q404" s="66" t="n">
        <x:v>4.71301723637603e-9</x:v>
      </x:c>
      <x:c r="R404" s="66" t="str">
        <x:v>C:\Users\admin\.codex\.chatgpt-projects\g-p-6910508be2a081919b9cb5881a96c92b\overnight_refinement_2026-08-27\reports\R033_7k_Mp1p5_Am1p5_Op0p00001_ise_report.json</x:v>
      </x:c>
    </x:row>
    <x:row r="405">
      <x:c r="A405" s="66" t="str">
        <x:v>R034_7k_Mp1p5_Am1p5_Op0p0001_ise</x:v>
      </x:c>
      <x:c r="B405" s="66" t="str">
        <x:v>7k</x:v>
      </x:c>
      <x:c r="C405" s="66" t="n">
        <x:v>1.5</x:v>
      </x:c>
      <x:c r="D405" s="66" t="n">
        <x:v>-1.5</x:v>
      </x:c>
      <x:c r="E405" s="66" t="n">
        <x:v>0.0001</x:v>
      </x:c>
      <x:c r="F405" s="66" t="str">
        <x:v>isentropic</x:v>
      </x:c>
      <x:c r="G405" s="66" t="str">
        <x:v>FQRUP</x:v>
      </x:c>
      <x:c r="H405" s="66" t="str">
        <x:v>OK</x:v>
      </x:c>
      <x:c r="I405" s="66" t="n">
        <x:v>1</x:v>
      </x:c>
      <x:c r="J405" s="66" t="n">
        <x:v>0</x:v>
      </x:c>
      <x:c r="K405" s="66" t="n">
        <x:v>6.656</x:v>
      </x:c>
      <x:c r="L405" s="66" t="n">
        <x:v>0.053249752264273</x:v>
      </x:c>
      <x:c r="M405" s="66" t="n">
        <x:v>0.00101088090139839</x:v>
      </x:c>
      <x:c r="N405" s="66" t="n">
        <x:v>0.00216489252971817</x:v>
      </x:c>
      <x:c r="O405" s="66" t="n">
        <x:v>0.0531748346242717</x:v>
      </x:c>
      <x:c r="P405" s="66" t="n">
        <x:v>0.00355806668754656</x:v>
      </x:c>
      <x:c r="Q405" s="66" t="n">
        <x:v>4.73464824194067e-8</x:v>
      </x:c>
      <x:c r="R405" s="66" t="str">
        <x:v>C:\Users\admin\.codex\.chatgpt-projects\g-p-6910508be2a081919b9cb5881a96c92b\overnight_refinement_2026-08-27\reports\R034_7k_Mp1p5_Am1p5_Op0p0001_ise_report.json</x:v>
      </x:c>
    </x:row>
    <x:row r="406">
      <x:c r="A406" s="66" t="str">
        <x:v>R035_7k_Mp1p5_Am1p25_Op0p00001_ise</x:v>
      </x:c>
      <x:c r="B406" s="66" t="str">
        <x:v>7k</x:v>
      </x:c>
      <x:c r="C406" s="66" t="n">
        <x:v>1.5</x:v>
      </x:c>
      <x:c r="D406" s="66" t="n">
        <x:v>-1.25</x:v>
      </x:c>
      <x:c r="E406" s="66" t="n">
        <x:v>0.00001</x:v>
      </x:c>
      <x:c r="F406" s="66" t="str">
        <x:v>isentropic</x:v>
      </x:c>
      <x:c r="G406" s="66" t="str">
        <x:v>FQRUP</x:v>
      </x:c>
      <x:c r="H406" s="66" t="str">
        <x:v>OK</x:v>
      </x:c>
      <x:c r="I406" s="66" t="n">
        <x:v>1</x:v>
      </x:c>
      <x:c r="J406" s="66" t="n">
        <x:v>0</x:v>
      </x:c>
      <x:c r="K406" s="66" t="n">
        <x:v>6.593</x:v>
      </x:c>
      <x:c r="L406" s="66" t="n">
        <x:v>0.0532708510361483</x:v>
      </x:c>
      <x:c r="M406" s="66" t="n">
        <x:v>0.000735344116934974</x:v>
      </x:c>
      <x:c r="N406" s="66" t="n">
        <x:v>-0.0001454419464107</x:v>
      </x:c>
      <x:c r="O406" s="66" t="n">
        <x:v>0.0532613468155117</x:v>
      </x:c>
      <x:c r="P406" s="66" t="n">
        <x:v>0.0010166901558808</x:v>
      </x:c>
      <x:c r="Q406" s="66" t="n">
        <x:v>4.75874926670535e-9</x:v>
      </x:c>
      <x:c r="R406" s="66" t="str">
        <x:v>C:\Users\admin\.codex\.chatgpt-projects\g-p-6910508be2a081919b9cb5881a96c92b\overnight_refinement_2026-08-27\reports\R035_7k_Mp1p5_Am1p25_Op0p00001_ise_report.json</x:v>
      </x:c>
    </x:row>
    <x:row r="407">
      <x:c r="A407" s="66" t="str">
        <x:v>R036_7k_Mp1p5_Am1p25_Op0p0001_ise</x:v>
      </x:c>
      <x:c r="B407" s="66" t="str">
        <x:v>7k</x:v>
      </x:c>
      <x:c r="C407" s="66" t="n">
        <x:v>1.5</x:v>
      </x:c>
      <x:c r="D407" s="66" t="n">
        <x:v>-1.25</x:v>
      </x:c>
      <x:c r="E407" s="66" t="n">
        <x:v>0.0001</x:v>
      </x:c>
      <x:c r="F407" s="66" t="str">
        <x:v>isentropic</x:v>
      </x:c>
      <x:c r="G407" s="66" t="str">
        <x:v>FQRUP</x:v>
      </x:c>
      <x:c r="H407" s="66" t="str">
        <x:v>OK</x:v>
      </x:c>
      <x:c r="I407" s="66" t="n">
        <x:v>1</x:v>
      </x:c>
      <x:c r="J407" s="66" t="n">
        <x:v>0</x:v>
      </x:c>
      <x:c r="K407" s="66" t="n">
        <x:v>6.562</x:v>
      </x:c>
      <x:c r="L407" s="66" t="n">
        <x:v>0.0532668769959662</x:v>
      </x:c>
      <x:c r="M407" s="66" t="n">
        <x:v>0.00073554876250971</x:v>
      </x:c>
      <x:c r="N407" s="66" t="n">
        <x:v>-0.000144719899520017</x:v>
      </x:c>
      <x:c r="O407" s="66" t="n">
        <x:v>0.0532573579696736</x:v>
      </x:c>
      <x:c r="P407" s="66" t="n">
        <x:v>0.00101732533771418</x:v>
      </x:c>
      <x:c r="Q407" s="66" t="n">
        <x:v>4.78055646750124e-8</x:v>
      </x:c>
      <x:c r="R407" s="66" t="str">
        <x:v>C:\Users\admin\.codex\.chatgpt-projects\g-p-6910508be2a081919b9cb5881a96c92b\overnight_refinement_2026-08-27\reports\R036_7k_Mp1p5_Am1p25_Op0p0001_ise_report.json</x:v>
      </x:c>
    </x:row>
    <x:row r="408">
      <x:c r="A408" s="66" t="str">
        <x:v>R037_7k_Mp1p5_Am1_Op0p00001_ise</x:v>
      </x:c>
      <x:c r="B408" s="66" t="str">
        <x:v>7k</x:v>
      </x:c>
      <x:c r="C408" s="66" t="n">
        <x:v>1.5</x:v>
      </x:c>
      <x:c r="D408" s="66" t="n">
        <x:v>-1</x:v>
      </x:c>
      <x:c r="E408" s="66" t="n">
        <x:v>0.00001</x:v>
      </x:c>
      <x:c r="F408" s="66" t="str">
        <x:v>isentropic</x:v>
      </x:c>
      <x:c r="G408" s="66" t="str">
        <x:v>FQRUP</x:v>
      </x:c>
      <x:c r="H408" s="66" t="str">
        <x:v>OK</x:v>
      </x:c>
      <x:c r="I408" s="66" t="n">
        <x:v>1</x:v>
      </x:c>
      <x:c r="J408" s="66" t="n">
        <x:v>0</x:v>
      </x:c>
      <x:c r="K408" s="66" t="n">
        <x:v>6.641</x:v>
      </x:c>
      <x:c r="L408" s="66" t="n">
        <x:v>0.0532020542393831</x:v>
      </x:c>
      <x:c r="M408" s="66" t="n">
        <x:v>0.0000847809394800496</x:v>
      </x:c>
      <x:c r="N408" s="66" t="n">
        <x:v>-0.00268604313237904</x:v>
      </x:c>
      <x:c r="O408" s="66" t="n">
        <x:v>0.0532408292252869</x:v>
      </x:c>
      <x:c r="P408" s="66" t="n">
        <x:v>-0.00175713016111572</x:v>
      </x:c>
      <x:c r="Q408" s="66" t="n">
        <x:v>4.80730210513344e-9</x:v>
      </x:c>
      <x:c r="R408" s="66" t="str">
        <x:v>C:\Users\admin\.codex\.chatgpt-projects\g-p-6910508be2a081919b9cb5881a96c92b\overnight_refinement_2026-08-27\reports\R037_7k_Mp1p5_Am1_Op0p00001_ise_report.json</x:v>
      </x:c>
    </x:row>
    <x:row r="409">
      <x:c r="A409" s="66" t="str">
        <x:v>R038_7k_Mp1p5_Am1_Op0p0001_ise</x:v>
      </x:c>
      <x:c r="B409" s="66" t="str">
        <x:v>7k</x:v>
      </x:c>
      <x:c r="C409" s="66" t="n">
        <x:v>1.5</x:v>
      </x:c>
      <x:c r="D409" s="66" t="n">
        <x:v>-1</x:v>
      </x:c>
      <x:c r="E409" s="66" t="n">
        <x:v>0.0001</x:v>
      </x:c>
      <x:c r="F409" s="66" t="str">
        <x:v>isentropic</x:v>
      </x:c>
      <x:c r="G409" s="66" t="str">
        <x:v>FQRUP</x:v>
      </x:c>
      <x:c r="H409" s="66" t="str">
        <x:v>OK</x:v>
      </x:c>
      <x:c r="I409" s="66" t="n">
        <x:v>1</x:v>
      </x:c>
      <x:c r="J409" s="66" t="n">
        <x:v>0</x:v>
      </x:c>
      <x:c r="K409" s="66" t="n">
        <x:v>6.578</x:v>
      </x:c>
      <x:c r="L409" s="66" t="n">
        <x:v>0.0531968623921941</x:v>
      </x:c>
      <x:c r="M409" s="66" t="n">
        <x:v>0.0000844520947715352</x:v>
      </x:c>
      <x:c r="N409" s="66" t="n">
        <x:v>-0.00268596481542618</x:v>
      </x:c>
      <x:c r="O409" s="66" t="n">
        <x:v>0.053235636802022</x:v>
      </x:c>
      <x:c r="P409" s="66" t="n">
        <x:v>-0.00175714246631821</x:v>
      </x:c>
      <x:c r="Q409" s="66" t="n">
        <x:v>4.82925125132947e-8</x:v>
      </x:c>
      <x:c r="R409" s="66" t="str">
        <x:v>C:\Users\admin\.codex\.chatgpt-projects\g-p-6910508be2a081919b9cb5881a96c92b\overnight_refinement_2026-08-27\reports\R038_7k_Mp1p5_Am1_Op0p0001_ise_report.json</x:v>
      </x:c>
    </x:row>
    <x:row r="410">
      <x:c r="A410" s="66" t="str">
        <x:v>R039_7k_Mp1p5_Am0p75_Op0p00001_ise</x:v>
      </x:c>
      <x:c r="B410" s="66" t="str">
        <x:v>7k</x:v>
      </x:c>
      <x:c r="C410" s="66" t="n">
        <x:v>1.5</x:v>
      </x:c>
      <x:c r="D410" s="66" t="n">
        <x:v>-0.75</x:v>
      </x:c>
      <x:c r="E410" s="66" t="n">
        <x:v>0.00001</x:v>
      </x:c>
      <x:c r="F410" s="66" t="str">
        <x:v>isentropic</x:v>
      </x:c>
      <x:c r="G410" s="66" t="str">
        <x:v>FQRUP</x:v>
      </x:c>
      <x:c r="H410" s="66" t="str">
        <x:v>OK</x:v>
      </x:c>
      <x:c r="I410" s="66" t="n">
        <x:v>1</x:v>
      </x:c>
      <x:c r="J410" s="66" t="n">
        <x:v>0</x:v>
      </x:c>
      <x:c r="K410" s="66" t="n">
        <x:v>6.61</x:v>
      </x:c>
      <x:c r="L410" s="66" t="n">
        <x:v>0.0530288557821005</x:v>
      </x:c>
      <x:c r="M410" s="66" t="n">
        <x:v>-0.000897348154026097</x:v>
      </x:c>
      <x:c r="N410" s="66" t="n">
        <x:v>-0.00533964761783488</x:v>
      </x:c>
      <x:c r="O410" s="66" t="n">
        <x:v>0.053094206499189</x:v>
      </x:c>
      <x:c r="P410" s="66" t="n">
        <x:v>-0.00464506388147067</x:v>
      </x:c>
      <x:c r="Q410" s="66" t="n">
        <x:v>4.8584956682479e-9</x:v>
      </x:c>
      <x:c r="R410" s="66" t="str">
        <x:v>C:\Users\admin\.codex\.chatgpt-projects\g-p-6910508be2a081919b9cb5881a96c92b\overnight_refinement_2026-08-27\reports\R039_7k_Mp1p5_Am0p75_Op0p00001_ise_report.json</x:v>
      </x:c>
    </x:row>
    <x:row r="411">
      <x:c r="A411" s="66" t="str">
        <x:v>R040_7k_Mp1p5_Am0p75_Op0p0001_ise</x:v>
      </x:c>
      <x:c r="B411" s="66" t="str">
        <x:v>7k</x:v>
      </x:c>
      <x:c r="C411" s="66" t="n">
        <x:v>1.5</x:v>
      </x:c>
      <x:c r="D411" s="66" t="n">
        <x:v>-0.75</x:v>
      </x:c>
      <x:c r="E411" s="66" t="n">
        <x:v>0.0001</x:v>
      </x:c>
      <x:c r="F411" s="66" t="str">
        <x:v>isentropic</x:v>
      </x:c>
      <x:c r="G411" s="66" t="str">
        <x:v>FQRUP</x:v>
      </x:c>
      <x:c r="H411" s="66" t="str">
        <x:v>OK</x:v>
      </x:c>
      <x:c r="I411" s="66" t="n">
        <x:v>1</x:v>
      </x:c>
      <x:c r="J411" s="66" t="n">
        <x:v>0</x:v>
      </x:c>
      <x:c r="K411" s="66" t="n">
        <x:v>6.625</x:v>
      </x:c>
      <x:c r="L411" s="66" t="n">
        <x:v>0.0530226923954621</x:v>
      </x:c>
      <x:c r="M411" s="66" t="n">
        <x:v>-0.000898717029714265</x:v>
      </x:c>
      <x:c r="N411" s="66" t="n">
        <x:v>-0.0053320022766062</x:v>
      </x:c>
      <x:c r="O411" s="66" t="n">
        <x:v>0.0530879435661582</x:v>
      </x:c>
      <x:c r="P411" s="66" t="n">
        <x:v>-0.00463749987147536</x:v>
      </x:c>
      <x:c r="Q411" s="66" t="n">
        <x:v>4.88054607118352e-8</x:v>
      </x:c>
      <x:c r="R411" s="66" t="str">
        <x:v>C:\Users\admin\.codex\.chatgpt-projects\g-p-6910508be2a081919b9cb5881a96c92b\overnight_refinement_2026-08-27\reports\R040_7k_Mp1p5_Am0p75_Op0p0001_ise_report.json</x:v>
      </x:c>
    </x:row>
    <x:row r="412">
      <x:c r="A412" s="66" t="str">
        <x:v>R041_7k_Mp1p5_Am0p5_Op0p00001_ise</x:v>
      </x:c>
      <x:c r="B412" s="66" t="str">
        <x:v>7k</x:v>
      </x:c>
      <x:c r="C412" s="66" t="n">
        <x:v>1.5</x:v>
      </x:c>
      <x:c r="D412" s="66" t="n">
        <x:v>-0.5</x:v>
      </x:c>
      <x:c r="E412" s="66" t="n">
        <x:v>0.00001</x:v>
      </x:c>
      <x:c r="F412" s="66" t="str">
        <x:v>isentropic</x:v>
      </x:c>
      <x:c r="G412" s="66" t="str">
        <x:v>FQRUP</x:v>
      </x:c>
      <x:c r="H412" s="66" t="str">
        <x:v>OK</x:v>
      </x:c>
      <x:c r="I412" s="66" t="n">
        <x:v>1</x:v>
      </x:c>
      <x:c r="J412" s="66" t="n">
        <x:v>0</x:v>
      </x:c>
      <x:c r="K412" s="66" t="n">
        <x:v>6.609</x:v>
      </x:c>
      <x:c r="L412" s="66" t="n">
        <x:v>0.0528164651854026</x:v>
      </x:c>
      <x:c r="M412" s="66" t="n">
        <x:v>-0.0012949317799389</x:v>
      </x:c>
      <x:c r="N412" s="66" t="n">
        <x:v>-0.00789334932318946</x:v>
      </x:c>
      <x:c r="O412" s="66" t="n">
        <x:v>0.0528833356893169</x:v>
      </x:c>
      <x:c r="P412" s="66" t="n">
        <x:v>-0.00743214401029476</x:v>
      </x:c>
      <x:c r="Q412" s="66" t="n">
        <x:v>4.91221212697151e-9</x:v>
      </x:c>
      <x:c r="R412" s="66" t="str">
        <x:v>C:\Users\admin\.codex\.chatgpt-projects\g-p-6910508be2a081919b9cb5881a96c92b\overnight_refinement_2026-08-27\reports\R041_7k_Mp1p5_Am0p5_Op0p00001_ise_report.json</x:v>
      </x:c>
    </x:row>
    <x:row r="413">
      <x:c r="A413" s="66" t="str">
        <x:v>R042_7k_Mp1p5_Am0p5_Op0p0001_ise</x:v>
      </x:c>
      <x:c r="B413" s="66" t="str">
        <x:v>7k</x:v>
      </x:c>
      <x:c r="C413" s="66" t="n">
        <x:v>1.5</x:v>
      </x:c>
      <x:c r="D413" s="66" t="n">
        <x:v>-0.5</x:v>
      </x:c>
      <x:c r="E413" s="66" t="n">
        <x:v>0.0001</x:v>
      </x:c>
      <x:c r="F413" s="66" t="str">
        <x:v>isentropic</x:v>
      </x:c>
      <x:c r="G413" s="66" t="str">
        <x:v>FQRUP</x:v>
      </x:c>
      <x:c r="H413" s="66" t="str">
        <x:v>OK</x:v>
      </x:c>
      <x:c r="I413" s="66" t="n">
        <x:v>1</x:v>
      </x:c>
      <x:c r="J413" s="66" t="n">
        <x:v>0</x:v>
      </x:c>
      <x:c r="K413" s="66" t="n">
        <x:v>6.641</x:v>
      </x:c>
      <x:c r="L413" s="66" t="n">
        <x:v>0.0528096554194519</x:v>
      </x:c>
      <x:c r="M413" s="66" t="n">
        <x:v>-0.00130001552937397</x:v>
      </x:c>
      <x:c r="N413" s="66" t="n">
        <x:v>-0.0078895232996429</x:v>
      </x:c>
      <x:c r="O413" s="66" t="n">
        <x:v>0.0528764927947309</x:v>
      </x:c>
      <x:c r="P413" s="66" t="n">
        <x:v>-0.00742837755809576</x:v>
      </x:c>
      <x:c r="Q413" s="66" t="n">
        <x:v>4.93433506478864e-8</x:v>
      </x:c>
      <x:c r="R413" s="66" t="str">
        <x:v>C:\Users\admin\.codex\.chatgpt-projects\g-p-6910508be2a081919b9cb5881a96c92b\overnight_refinement_2026-08-27\reports\R042_7k_Mp1p5_Am0p5_Op0p0001_ise_report.json</x:v>
      </x:c>
    </x:row>
    <x:row r="414">
      <x:c r="A414" s="66" t="str">
        <x:v>R043_7k_Mp1p5_Ap0p5_Op0p00001_ise</x:v>
      </x:c>
      <x:c r="B414" s="66" t="str">
        <x:v>7k</x:v>
      </x:c>
      <x:c r="C414" s="66" t="n">
        <x:v>1.5</x:v>
      </x:c>
      <x:c r="D414" s="66" t="n">
        <x:v>0.5</x:v>
      </x:c>
      <x:c r="E414" s="66" t="n">
        <x:v>0.00001</x:v>
      </x:c>
      <x:c r="F414" s="66" t="str">
        <x:v>isentropic</x:v>
      </x:c>
      <x:c r="G414" s="66" t="str">
        <x:v>FQRUP</x:v>
      </x:c>
      <x:c r="H414" s="66" t="str">
        <x:v>OK</x:v>
      </x:c>
      <x:c r="I414" s="66" t="n">
        <x:v>1</x:v>
      </x:c>
      <x:c r="J414" s="66" t="n">
        <x:v>0</x:v>
      </x:c>
      <x:c r="K414" s="66" t="n">
        <x:v>6.578</x:v>
      </x:c>
      <x:c r="L414" s="66" t="n">
        <x:v>0.0512895690474698</x:v>
      </x:c>
      <x:c r="M414" s="66" t="n">
        <x:v>-0.00172791907805882</x:v>
      </x:c>
      <x:c r="N414" s="66" t="n">
        <x:v>-0.0184673210074627</x:v>
      </x:c>
      <x:c r="O414" s="66" t="n">
        <x:v>0.051126460365509</x:v>
      </x:c>
      <x:c r="P414" s="66" t="n">
        <x:v>-0.0189141980734548</x:v>
      </x:c>
      <x:c r="Q414" s="66" t="n">
        <x:v>5.15073538883863e-9</x:v>
      </x:c>
      <x:c r="R414" s="66" t="str">
        <x:v>C:\Users\admin\.codex\.chatgpt-projects\g-p-6910508be2a081919b9cb5881a96c92b\overnight_refinement_2026-08-27\reports\R043_7k_Mp1p5_Ap0p5_Op0p00001_ise_report.json</x:v>
      </x:c>
    </x:row>
    <x:row r="415">
      <x:c r="A415" s="66" t="str">
        <x:v>R044_7k_Mp1p5_Ap0p5_Op0p0001_ise</x:v>
      </x:c>
      <x:c r="B415" s="66" t="str">
        <x:v>7k</x:v>
      </x:c>
      <x:c r="C415" s="66" t="n">
        <x:v>1.5</x:v>
      </x:c>
      <x:c r="D415" s="66" t="n">
        <x:v>0.5</x:v>
      </x:c>
      <x:c r="E415" s="66" t="n">
        <x:v>0.0001</x:v>
      </x:c>
      <x:c r="F415" s="66" t="str">
        <x:v>isentropic</x:v>
      </x:c>
      <x:c r="G415" s="66" t="str">
        <x:v>FQRUP</x:v>
      </x:c>
      <x:c r="H415" s="66" t="str">
        <x:v>OK</x:v>
      </x:c>
      <x:c r="I415" s="66" t="n">
        <x:v>1</x:v>
      </x:c>
      <x:c r="J415" s="66" t="n">
        <x:v>0</x:v>
      </x:c>
      <x:c r="K415" s="66" t="n">
        <x:v>6.594</x:v>
      </x:c>
      <x:c r="L415" s="66" t="n">
        <x:v>0.0512838029386673</x:v>
      </x:c>
      <x:c r="M415" s="66" t="n">
        <x:v>-0.00173879942304421</x:v>
      </x:c>
      <x:c r="N415" s="66" t="n">
        <x:v>-0.0184620234253024</x:v>
      </x:c>
      <x:c r="O415" s="66" t="n">
        <x:v>0.051120740705801</x:v>
      </x:c>
      <x:c r="P415" s="66" t="n">
        <x:v>-0.0189088503748571</x:v>
      </x:c>
      <x:c r="Q415" s="66" t="n">
        <x:v>5.17299200887369e-8</x:v>
      </x:c>
      <x:c r="R415" s="66" t="str">
        <x:v>C:\Users\admin\.codex\.chatgpt-projects\g-p-6910508be2a081919b9cb5881a96c92b\overnight_refinement_2026-08-27\reports\R044_7k_Mp1p5_Ap0p5_Op0p0001_ise_report.json</x:v>
      </x:c>
    </x:row>
    <x:row r="416">
      <x:c r="A416" s="66" t="str">
        <x:v>R045_7k_Mp1p5_Ap1_Op0p00001_ise</x:v>
      </x:c>
      <x:c r="B416" s="66" t="str">
        <x:v>7k</x:v>
      </x:c>
      <x:c r="C416" s="66" t="n">
        <x:v>1.5</x:v>
      </x:c>
      <x:c r="D416" s="66" t="n">
        <x:v>1</x:v>
      </x:c>
      <x:c r="E416" s="66" t="n">
        <x:v>0.00001</x:v>
      </x:c>
      <x:c r="F416" s="66" t="str">
        <x:v>isentropic</x:v>
      </x:c>
      <x:c r="G416" s="66" t="str">
        <x:v>FQRUP</x:v>
      </x:c>
      <x:c r="H416" s="66" t="str">
        <x:v>OK</x:v>
      </x:c>
      <x:c r="I416" s="66" t="n">
        <x:v>1</x:v>
      </x:c>
      <x:c r="J416" s="66" t="n">
        <x:v>0</x:v>
      </x:c>
      <x:c r="K416" s="66" t="n">
        <x:v>6.641</x:v>
      </x:c>
      <x:c r="L416" s="66" t="n">
        <x:v>0.0499123369409194</x:v>
      </x:c>
      <x:c r="M416" s="66" t="n">
        <x:v>-0.00125397201104658</x:v>
      </x:c>
      <x:c r="N416" s="66" t="n">
        <x:v>-0.022546451112391</x:v>
      </x:c>
      <x:c r="O416" s="66" t="n">
        <x:v>0.0495112452217157</x:v>
      </x:c>
      <x:c r="P416" s="66" t="n">
        <x:v>-0.023414107569208</x:v>
      </x:c>
      <x:c r="Q416" s="66" t="n">
        <x:v>5.28197986213837e-9</x:v>
      </x:c>
      <x:c r="R416" s="66" t="str">
        <x:v>C:\Users\admin\.codex\.chatgpt-projects\g-p-6910508be2a081919b9cb5881a96c92b\overnight_refinement_2026-08-27\reports\R045_7k_Mp1p5_Ap1_Op0p00001_ise_report.json</x:v>
      </x:c>
    </x:row>
    <x:row r="417">
      <x:c r="A417" s="66" t="str">
        <x:v>R046_7k_Mp1p5_Ap1_Op0p0001_ise</x:v>
      </x:c>
      <x:c r="B417" s="66" t="str">
        <x:v>7k</x:v>
      </x:c>
      <x:c r="C417" s="66" t="n">
        <x:v>1.5</x:v>
      </x:c>
      <x:c r="D417" s="66" t="n">
        <x:v>1</x:v>
      </x:c>
      <x:c r="E417" s="66" t="n">
        <x:v>0.0001</x:v>
      </x:c>
      <x:c r="F417" s="66" t="str">
        <x:v>isentropic</x:v>
      </x:c>
      <x:c r="G417" s="66" t="str">
        <x:v>FQRUP</x:v>
      </x:c>
      <x:c r="H417" s="66" t="str">
        <x:v>OK</x:v>
      </x:c>
      <x:c r="I417" s="66" t="n">
        <x:v>1</x:v>
      </x:c>
      <x:c r="J417" s="66" t="n">
        <x:v>0</x:v>
      </x:c>
      <x:c r="K417" s="66" t="n">
        <x:v>6.594</x:v>
      </x:c>
      <x:c r="L417" s="66" t="n">
        <x:v>0.0499481011631367</x:v>
      </x:c>
      <x:c r="M417" s="66" t="n">
        <x:v>-0.00122857957278327</x:v>
      </x:c>
      <x:c r="N417" s="66" t="n">
        <x:v>-0.0226444480087528</x:v>
      </x:c>
      <x:c r="O417" s="66" t="n">
        <x:v>0.0495452937152038</x:v>
      </x:c>
      <x:c r="P417" s="66" t="n">
        <x:v>-0.0235127137119098</x:v>
      </x:c>
      <x:c r="Q417" s="66" t="n">
        <x:v>5.30411510710618e-8</x:v>
      </x:c>
      <x:c r="R417" s="66" t="str">
        <x:v>C:\Users\admin\.codex\.chatgpt-projects\g-p-6910508be2a081919b9cb5881a96c92b\overnight_refinement_2026-08-27\reports\R046_7k_Mp1p5_Ap1_Op0p0001_ise_report.json</x:v>
      </x:c>
    </x:row>
    <x:row r="418">
      <x:c r="A418" s="66" t="str">
        <x:v>R047_7k_Mp1p5_Ap1p5_Op0p00001_ise</x:v>
      </x:c>
      <x:c r="B418" s="66" t="str">
        <x:v>7k</x:v>
      </x:c>
      <x:c r="C418" s="66" t="n">
        <x:v>1.5</x:v>
      </x:c>
      <x:c r="D418" s="66" t="n">
        <x:v>1.5</x:v>
      </x:c>
      <x:c r="E418" s="66" t="n">
        <x:v>0.00001</x:v>
      </x:c>
      <x:c r="F418" s="66" t="str">
        <x:v>isentropic</x:v>
      </x:c>
      <x:c r="G418" s="66" t="str">
        <x:v>FQRUP</x:v>
      </x:c>
      <x:c r="H418" s="66" t="str">
        <x:v>OK</x:v>
      </x:c>
      <x:c r="I418" s="66" t="n">
        <x:v>1</x:v>
      </x:c>
      <x:c r="J418" s="66" t="n">
        <x:v>0</x:v>
      </x:c>
      <x:c r="K418" s="66" t="n">
        <x:v>6.609</x:v>
      </x:c>
      <x:c r="L418" s="66" t="n">
        <x:v>0.0481825729739511</x:v>
      </x:c>
      <x:c r="M418" s="66" t="n">
        <x:v>-0.00124971238945459</x:v>
      </x:c>
      <x:c r="N418" s="66" t="n">
        <x:v>-0.0261526725610882</x:v>
      </x:c>
      <x:c r="O418" s="66" t="n">
        <x:v>0.0474814648518352</x:v>
      </x:c>
      <x:c r="P418" s="66" t="n">
        <x:v>-0.0274049834154585</x:v>
      </x:c>
      <x:c r="Q418" s="66" t="n">
        <x:v>5.44570700471327e-9</x:v>
      </x:c>
      <x:c r="R418" s="66" t="str">
        <x:v>C:\Users\admin\.codex\.chatgpt-projects\g-p-6910508be2a081919b9cb5881a96c92b\overnight_refinement_2026-08-27\reports\R047_7k_Mp1p5_Ap1p5_Op0p00001_ise_report.json</x:v>
      </x:c>
    </x:row>
    <x:row r="419">
      <x:c r="A419" s="66" t="str">
        <x:v>R048_7k_Mp1p5_Ap1p5_Op0p0001_ise</x:v>
      </x:c>
      <x:c r="B419" s="66" t="str">
        <x:v>7k</x:v>
      </x:c>
      <x:c r="C419" s="66" t="n">
        <x:v>1.5</x:v>
      </x:c>
      <x:c r="D419" s="66" t="n">
        <x:v>1.5</x:v>
      </x:c>
      <x:c r="E419" s="66" t="n">
        <x:v>0.0001</x:v>
      </x:c>
      <x:c r="F419" s="66" t="str">
        <x:v>isentropic</x:v>
      </x:c>
      <x:c r="G419" s="66" t="str">
        <x:v>FQRUP</x:v>
      </x:c>
      <x:c r="H419" s="66" t="str">
        <x:v>OK</x:v>
      </x:c>
      <x:c r="I419" s="66" t="n">
        <x:v>1</x:v>
      </x:c>
      <x:c r="J419" s="66" t="n">
        <x:v>0</x:v>
      </x:c>
      <x:c r="K419" s="66" t="n">
        <x:v>6.657</x:v>
      </x:c>
      <x:c r="L419" s="66" t="n">
        <x:v>0.0481764924826281</x:v>
      </x:c>
      <x:c r="M419" s="66" t="n">
        <x:v>-0.00125492672803538</x:v>
      </x:c>
      <x:c r="N419" s="66" t="n">
        <x:v>-0.0261500158035621</x:v>
      </x:c>
      <x:c r="O419" s="66" t="n">
        <x:v>0.0474754559899491</x:v>
      </x:c>
      <x:c r="P419" s="66" t="n">
        <x:v>-0.0274021683996298</x:v>
      </x:c>
      <x:c r="Q419" s="66" t="n">
        <x:v>5.46823910289655e-8</x:v>
      </x:c>
      <x:c r="R419" s="66" t="str">
        <x:v>C:\Users\admin\.codex\.chatgpt-projects\g-p-6910508be2a081919b9cb5881a96c92b\overnight_refinement_2026-08-27\reports\R048_7k_Mp1p5_Ap1p5_Op0p0001_ise_report.json</x:v>
      </x:c>
    </x:row>
    <x:row r="420">
      <x:c r="A420" s="66" t="str">
        <x:v>R049_7k_Mp1p55_Am1_Op0p00001_ise</x:v>
      </x:c>
      <x:c r="B420" s="66" t="str">
        <x:v>7k</x:v>
      </x:c>
      <x:c r="C420" s="66" t="n">
        <x:v>1.55</x:v>
      </x:c>
      <x:c r="D420" s="66" t="n">
        <x:v>-1</x:v>
      </x:c>
      <x:c r="E420" s="66" t="n">
        <x:v>0.00001</x:v>
      </x:c>
      <x:c r="F420" s="66" t="str">
        <x:v>isentropic</x:v>
      </x:c>
      <x:c r="G420" s="66" t="str">
        <x:v>FQRUP</x:v>
      </x:c>
      <x:c r="H420" s="66" t="str">
        <x:v>OK</x:v>
      </x:c>
      <x:c r="I420" s="66" t="n">
        <x:v>1</x:v>
      </x:c>
      <x:c r="J420" s="66" t="n">
        <x:v>0</x:v>
      </x:c>
      <x:c r="K420" s="66" t="n">
        <x:v>6.453</x:v>
      </x:c>
      <x:c r="L420" s="66" t="n">
        <x:v>0.0521466958711719</x:v>
      </x:c>
      <x:c r="M420" s="66" t="n">
        <x:v>0.000007825913146581</x:v>
      </x:c>
      <x:c r="N420" s="66" t="n">
        <x:v>0.00663493943977513</x:v>
      </x:c>
      <x:c r="O420" s="66" t="n">
        <x:v>0.0520229580170228</x:v>
      </x:c>
      <x:c r="P420" s="66" t="n">
        <x:v>0.00754401423706651</x:v>
      </x:c>
      <x:c r="Q420" s="66" t="n">
        <x:v>4.29286340975655e-9</x:v>
      </x:c>
      <x:c r="R420" s="66" t="str">
        <x:v>C:\Users\admin\.codex\.chatgpt-projects\g-p-6910508be2a081919b9cb5881a96c92b\overnight_refinement_2026-08-27\reports\R049_7k_Mp1p55_Am1_Op0p00001_ise_report.json</x:v>
      </x:c>
    </x:row>
    <x:row r="421">
      <x:c r="A421" s="66" t="str">
        <x:v>R050_7k_Mp1p55_Am1_Op0p0001_ise</x:v>
      </x:c>
      <x:c r="B421" s="66" t="str">
        <x:v>7k</x:v>
      </x:c>
      <x:c r="C421" s="66" t="n">
        <x:v>1.55</x:v>
      </x:c>
      <x:c r="D421" s="66" t="n">
        <x:v>-1</x:v>
      </x:c>
      <x:c r="E421" s="66" t="n">
        <x:v>0.0001</x:v>
      </x:c>
      <x:c r="F421" s="66" t="str">
        <x:v>isentropic</x:v>
      </x:c>
      <x:c r="G421" s="66" t="str">
        <x:v>FQRUP</x:v>
      </x:c>
      <x:c r="H421" s="66" t="str">
        <x:v>OK</x:v>
      </x:c>
      <x:c r="I421" s="66" t="n">
        <x:v>1</x:v>
      </x:c>
      <x:c r="J421" s="66" t="n">
        <x:v>0</x:v>
      </x:c>
      <x:c r="K421" s="66" t="n">
        <x:v>6.375</x:v>
      </x:c>
      <x:c r="L421" s="66" t="n">
        <x:v>0.0521478002891632</x:v>
      </x:c>
      <x:c r="M421" s="66" t="n">
        <x:v>0.00000795542775220277</x:v>
      </x:c>
      <x:c r="N421" s="66" t="n">
        <x:v>0.00664390160446866</x:v>
      </x:c>
      <x:c r="O421" s="66" t="n">
        <x:v>0.0520239058554651</x:v>
      </x:c>
      <x:c r="P421" s="66" t="n">
        <x:v>0.00755299431153061</x:v>
      </x:c>
      <x:c r="Q421" s="66" t="n">
        <x:v>4.31718496220494e-8</x:v>
      </x:c>
      <x:c r="R421" s="66" t="str">
        <x:v>C:\Users\admin\.codex\.chatgpt-projects\g-p-6910508be2a081919b9cb5881a96c92b\overnight_refinement_2026-08-27\reports\R050_7k_Mp1p55_Am1_Op0p0001_ise_report.json</x:v>
      </x:c>
    </x:row>
    <x:row r="422">
      <x:c r="A422" s="66" t="str">
        <x:v>R051_7k_Mp1p55_Am0p75_Op0p00001_ise</x:v>
      </x:c>
      <x:c r="B422" s="66" t="str">
        <x:v>7k</x:v>
      </x:c>
      <x:c r="C422" s="66" t="n">
        <x:v>1.55</x:v>
      </x:c>
      <x:c r="D422" s="66" t="n">
        <x:v>-0.75</x:v>
      </x:c>
      <x:c r="E422" s="66" t="n">
        <x:v>0.00001</x:v>
      </x:c>
      <x:c r="F422" s="66" t="str">
        <x:v>isentropic</x:v>
      </x:c>
      <x:c r="G422" s="66" t="str">
        <x:v>FQRUP</x:v>
      </x:c>
      <x:c r="H422" s="66" t="str">
        <x:v>OK</x:v>
      </x:c>
      <x:c r="I422" s="66" t="n">
        <x:v>1</x:v>
      </x:c>
      <x:c r="J422" s="66" t="n">
        <x:v>0</x:v>
      </x:c>
      <x:c r="K422" s="66" t="n">
        <x:v>6.422</x:v>
      </x:c>
      <x:c r="L422" s="66" t="n">
        <x:v>0.0519769624207265</x:v>
      </x:c>
      <x:c r="M422" s="66" t="n">
        <x:v>0.000412618108496314</x:v>
      </x:c>
      <x:c r="N422" s="66" t="n">
        <x:v>0.00183859141169808</x:v>
      </x:c>
      <x:c r="O422" s="66" t="n">
        <x:v>0.0519484430102601</x:v>
      </x:c>
      <x:c r="P422" s="66" t="n">
        <x:v>0.00251879131222571</x:v>
      </x:c>
      <x:c r="Q422" s="66" t="n">
        <x:v>4.34014512999399e-9</x:v>
      </x:c>
      <x:c r="R422" s="66" t="str">
        <x:v>C:\Users\admin\.codex\.chatgpt-projects\g-p-6910508be2a081919b9cb5881a96c92b\overnight_refinement_2026-08-27\reports\R051_7k_Mp1p55_Am0p75_Op0p00001_ise_report.json</x:v>
      </x:c>
    </x:row>
    <x:row r="423">
      <x:c r="A423" s="66" t="str">
        <x:v>R052_7k_Mp1p55_Am0p75_Op0p0001_ise</x:v>
      </x:c>
      <x:c r="B423" s="66" t="str">
        <x:v>7k</x:v>
      </x:c>
      <x:c r="C423" s="66" t="n">
        <x:v>1.55</x:v>
      </x:c>
      <x:c r="D423" s="66" t="n">
        <x:v>-0.75</x:v>
      </x:c>
      <x:c r="E423" s="66" t="n">
        <x:v>0.0001</x:v>
      </x:c>
      <x:c r="F423" s="66" t="str">
        <x:v>isentropic</x:v>
      </x:c>
      <x:c r="G423" s="66" t="str">
        <x:v>FQRUP</x:v>
      </x:c>
      <x:c r="H423" s="66" t="str">
        <x:v>OK</x:v>
      </x:c>
      <x:c r="I423" s="66" t="n">
        <x:v>1</x:v>
      </x:c>
      <x:c r="J423" s="66" t="n">
        <x:v>0</x:v>
      </x:c>
      <x:c r="K423" s="66" t="n">
        <x:v>6.391</x:v>
      </x:c>
      <x:c r="L423" s="66" t="n">
        <x:v>0.0519496706008332</x:v>
      </x:c>
      <x:c r="M423" s="66" t="n">
        <x:v>0.000387429784819897</x:v>
      </x:c>
      <x:c r="N423" s="66" t="n">
        <x:v>0.00188949476337478</x:v>
      </x:c>
      <x:c r="O423" s="66" t="n">
        <x:v>0.0519204872242365</x:v>
      </x:c>
      <x:c r="P423" s="66" t="n">
        <x:v>0.00256933306400397</x:v>
      </x:c>
      <x:c r="Q423" s="66" t="n">
        <x:v>4.36479098747164e-8</x:v>
      </x:c>
      <x:c r="R423" s="66" t="str">
        <x:v>C:\Users\admin\.codex\.chatgpt-projects\g-p-6910508be2a081919b9cb5881a96c92b\overnight_refinement_2026-08-27\reports\R052_7k_Mp1p55_Am0p75_Op0p0001_ise_report.json</x:v>
      </x:c>
    </x:row>
    <x:row r="424">
      <x:c r="A424" s="66" t="str">
        <x:v>R053_7k_Mp1p55_Am0p5_Op0p00001_ise</x:v>
      </x:c>
      <x:c r="B424" s="66" t="str">
        <x:v>7k</x:v>
      </x:c>
      <x:c r="C424" s="66" t="n">
        <x:v>1.55</x:v>
      </x:c>
      <x:c r="D424" s="66" t="n">
        <x:v>-0.5</x:v>
      </x:c>
      <x:c r="E424" s="66" t="n">
        <x:v>0.00001</x:v>
      </x:c>
      <x:c r="F424" s="66" t="str">
        <x:v>isentropic</x:v>
      </x:c>
      <x:c r="G424" s="66" t="str">
        <x:v>FQRUP</x:v>
      </x:c>
      <x:c r="H424" s="66" t="str">
        <x:v>OK</x:v>
      </x:c>
      <x:c r="I424" s="66" t="n">
        <x:v>1</x:v>
      </x:c>
      <x:c r="J424" s="66" t="n">
        <x:v>0</x:v>
      </x:c>
      <x:c r="K424" s="66" t="n">
        <x:v>6.437</x:v>
      </x:c>
      <x:c r="L424" s="66" t="n">
        <x:v>0.0517137699194024</x:v>
      </x:c>
      <x:c r="M424" s="66" t="n">
        <x:v>0.000248732102180581</x:v>
      </x:c>
      <x:c r="N424" s="66" t="n">
        <x:v>-0.0028306171117211</x:v>
      </x:c>
      <x:c r="O424" s="66" t="n">
        <x:v>0.0517365022982115</x:v>
      </x:c>
      <x:c r="P424" s="66" t="n">
        <x:v>-0.00237922728153857</x:v>
      </x:c>
      <x:c r="Q424" s="66" t="n">
        <x:v>4.39133190364911e-9</x:v>
      </x:c>
      <x:c r="R424" s="66" t="str">
        <x:v>C:\Users\admin\.codex\.chatgpt-projects\g-p-6910508be2a081919b9cb5881a96c92b\overnight_refinement_2026-08-27\reports\R053_7k_Mp1p55_Am0p5_Op0p00001_ise_report.json</x:v>
      </x:c>
    </x:row>
    <x:row r="425">
      <x:c r="A425" s="66" t="str">
        <x:v>R054_7k_Mp1p55_Am0p5_Op0p0001_ise</x:v>
      </x:c>
      <x:c r="B425" s="66" t="str">
        <x:v>7k</x:v>
      </x:c>
      <x:c r="C425" s="66" t="n">
        <x:v>1.55</x:v>
      </x:c>
      <x:c r="D425" s="66" t="n">
        <x:v>-0.5</x:v>
      </x:c>
      <x:c r="E425" s="66" t="n">
        <x:v>0.0001</x:v>
      </x:c>
      <x:c r="F425" s="66" t="str">
        <x:v>isentropic</x:v>
      </x:c>
      <x:c r="G425" s="66" t="str">
        <x:v>FQRUP</x:v>
      </x:c>
      <x:c r="H425" s="66" t="str">
        <x:v>OK</x:v>
      </x:c>
      <x:c r="I425" s="66" t="n">
        <x:v>1</x:v>
      </x:c>
      <x:c r="J425" s="66" t="n">
        <x:v>0</x:v>
      </x:c>
      <x:c r="K425" s="66" t="n">
        <x:v>6.375</x:v>
      </x:c>
      <x:c r="L425" s="66" t="n">
        <x:v>0.0517162232059502</x:v>
      </x:c>
      <x:c r="M425" s="66" t="n">
        <x:v>0.000250204255861192</x:v>
      </x:c>
      <x:c r="N425" s="66" t="n">
        <x:v>-0.00282314339978528</x:v>
      </x:c>
      <x:c r="O425" s="66" t="n">
        <x:v>0.0517388902717331</x:v>
      </x:c>
      <x:c r="P425" s="66" t="n">
        <x:v>-0.00237173244548666</x:v>
      </x:c>
      <x:c r="Q425" s="66" t="n">
        <x:v>4.41626059068189e-8</x:v>
      </x:c>
      <x:c r="R425" s="66" t="str">
        <x:v>C:\Users\admin\.codex\.chatgpt-projects\g-p-6910508be2a081919b9cb5881a96c92b\overnight_refinement_2026-08-27\reports\R054_7k_Mp1p55_Am0p5_Op0p0001_ise_report.json</x:v>
      </x:c>
    </x:row>
    <x:row r="426">
      <x:c r="A426" s="66" t="str">
        <x:v>R055_7k_Mp1p55_Am0p25_Op0p00001_ise</x:v>
      </x:c>
      <x:c r="B426" s="66" t="str">
        <x:v>7k</x:v>
      </x:c>
      <x:c r="C426" s="66" t="n">
        <x:v>1.55</x:v>
      </x:c>
      <x:c r="D426" s="66" t="n">
        <x:v>-0.25</x:v>
      </x:c>
      <x:c r="E426" s="66" t="n">
        <x:v>0.00001</x:v>
      </x:c>
      <x:c r="F426" s="66" t="str">
        <x:v>isentropic</x:v>
      </x:c>
      <x:c r="G426" s="66" t="str">
        <x:v>FQRUP</x:v>
      </x:c>
      <x:c r="H426" s="66" t="str">
        <x:v>OK</x:v>
      </x:c>
      <x:c r="I426" s="66" t="n">
        <x:v>1</x:v>
      </x:c>
      <x:c r="J426" s="66" t="n">
        <x:v>0</x:v>
      </x:c>
      <x:c r="K426" s="66" t="n">
        <x:v>6.359</x:v>
      </x:c>
      <x:c r="L426" s="66" t="n">
        <x:v>0.0513535505599674</x:v>
      </x:c>
      <x:c r="M426" s="66" t="n">
        <x:v>0.0000641024622714325</x:v>
      </x:c>
      <x:c r="N426" s="66" t="n">
        <x:v>-0.00679783491635148</x:v>
      </x:c>
      <x:c r="O426" s="66" t="n">
        <x:v>0.051382722767385</x:v>
      </x:c>
      <x:c r="P426" s="66" t="n">
        <x:v>-0.0065736987818995</x:v>
      </x:c>
      <x:c r="Q426" s="66" t="n">
        <x:v>4.44609510089999e-9</x:v>
      </x:c>
      <x:c r="R426" s="66" t="str">
        <x:v>C:\Users\admin\.codex\.chatgpt-projects\g-p-6910508be2a081919b9cb5881a96c92b\overnight_refinement_2026-08-27\reports\R055_7k_Mp1p55_Am0p25_Op0p00001_ise_report.json</x:v>
      </x:c>
    </x:row>
    <x:row r="427">
      <x:c r="A427" s="66" t="str">
        <x:v>R056_7k_Mp1p55_Am0p25_Op0p0001_ise</x:v>
      </x:c>
      <x:c r="B427" s="66" t="str">
        <x:v>7k</x:v>
      </x:c>
      <x:c r="C427" s="66" t="n">
        <x:v>1.55</x:v>
      </x:c>
      <x:c r="D427" s="66" t="n">
        <x:v>-0.25</x:v>
      </x:c>
      <x:c r="E427" s="66" t="n">
        <x:v>0.0001</x:v>
      </x:c>
      <x:c r="F427" s="66" t="str">
        <x:v>isentropic</x:v>
      </x:c>
      <x:c r="G427" s="66" t="str">
        <x:v>FQRUP</x:v>
      </x:c>
      <x:c r="H427" s="66" t="str">
        <x:v>OK</x:v>
      </x:c>
      <x:c r="I427" s="66" t="n">
        <x:v>1</x:v>
      </x:c>
      <x:c r="J427" s="66" t="n">
        <x:v>0</x:v>
      </x:c>
      <x:c r="K427" s="66" t="n">
        <x:v>6.313</x:v>
      </x:c>
      <x:c r="L427" s="66" t="n">
        <x:v>0.0513064402740935</x:v>
      </x:c>
      <x:c r="M427" s="66" t="n">
        <x:v>0.0000565269105738743</x:v>
      </x:c>
      <x:c r="N427" s="66" t="n">
        <x:v>-0.00673807360334538</x:v>
      </x:c>
      <x:c r="O427" s="66" t="n">
        <x:v>0.0513353521728752</x:v>
      </x:c>
      <x:c r="P427" s="66" t="n">
        <x:v>-0.00651414359452579</x:v>
      </x:c>
      <x:c r="Q427" s="66" t="n">
        <x:v>4.47126013229018e-8</x:v>
      </x:c>
      <x:c r="R427" s="66" t="str">
        <x:v>C:\Users\admin\.codex\.chatgpt-projects\g-p-6910508be2a081919b9cb5881a96c92b\overnight_refinement_2026-08-27\reports\R056_7k_Mp1p55_Am0p25_Op0p0001_ise_report.json</x:v>
      </x:c>
    </x:row>
    <x:row r="428">
      <x:c r="A428" s="66" t="str">
        <x:v>R057_7k_Mp1p55_Ap0p25_Op0p00001_ise</x:v>
      </x:c>
      <x:c r="B428" s="66" t="str">
        <x:v>7k</x:v>
      </x:c>
      <x:c r="C428" s="66" t="n">
        <x:v>1.55</x:v>
      </x:c>
      <x:c r="D428" s="66" t="n">
        <x:v>0.25</x:v>
      </x:c>
      <x:c r="E428" s="66" t="n">
        <x:v>0.00001</x:v>
      </x:c>
      <x:c r="F428" s="66" t="str">
        <x:v>isentropic</x:v>
      </x:c>
      <x:c r="G428" s="66" t="str">
        <x:v>FQRUP</x:v>
      </x:c>
      <x:c r="H428" s="66" t="str">
        <x:v>OK</x:v>
      </x:c>
      <x:c r="I428" s="66" t="n">
        <x:v>1</x:v>
      </x:c>
      <x:c r="J428" s="66" t="n">
        <x:v>0</x:v>
      </x:c>
      <x:c r="K428" s="66" t="n">
        <x:v>6.312</x:v>
      </x:c>
      <x:c r="L428" s="66" t="n">
        <x:v>0.0505403089393634</x:v>
      </x:c>
      <x:c r="M428" s="66" t="n">
        <x:v>0.000031972454865799</x:v>
      </x:c>
      <x:c r="N428" s="66" t="n">
        <x:v>-0.0134707952117522</x:v>
      </x:c>
      <x:c r="O428" s="66" t="n">
        <x:v>0.0504810505862281</x:v>
      </x:c>
      <x:c r="P428" s="66" t="n">
        <x:v>-0.0136911899787397</x:v>
      </x:c>
      <x:c r="Q428" s="66" t="n">
        <x:v>4.56541692045559e-9</x:v>
      </x:c>
      <x:c r="R428" s="66" t="str">
        <x:v>C:\Users\admin\.codex\.chatgpt-projects\g-p-6910508be2a081919b9cb5881a96c92b\overnight_refinement_2026-08-27\reports\R057_7k_Mp1p55_Ap0p25_Op0p00001_ise_report.json</x:v>
      </x:c>
    </x:row>
    <x:row r="429">
      <x:c r="A429" s="66" t="str">
        <x:v>R058_7k_Mp1p55_Ap0p25_Op0p0001_ise</x:v>
      </x:c>
      <x:c r="B429" s="66" t="str">
        <x:v>7k</x:v>
      </x:c>
      <x:c r="C429" s="66" t="n">
        <x:v>1.55</x:v>
      </x:c>
      <x:c r="D429" s="66" t="n">
        <x:v>0.25</x:v>
      </x:c>
      <x:c r="E429" s="66" t="n">
        <x:v>0.0001</x:v>
      </x:c>
      <x:c r="F429" s="66" t="str">
        <x:v>isentropic</x:v>
      </x:c>
      <x:c r="G429" s="66" t="str">
        <x:v>FQRUP</x:v>
      </x:c>
      <x:c r="H429" s="66" t="str">
        <x:v>OK</x:v>
      </x:c>
      <x:c r="I429" s="66" t="n">
        <x:v>1</x:v>
      </x:c>
      <x:c r="J429" s="66" t="n">
        <x:v>0</x:v>
      </x:c>
      <x:c r="K429" s="66" t="n">
        <x:v>6.297</x:v>
      </x:c>
      <x:c r="L429" s="66" t="n">
        <x:v>0.0505413980545192</x:v>
      </x:c>
      <x:c r="M429" s="66" t="n">
        <x:v>0.0000261051188264162</x:v>
      </x:c>
      <x:c r="N429" s="66" t="n">
        <x:v>-0.0134564233289169</x:v>
      </x:c>
      <x:c r="O429" s="66" t="n">
        <x:v>0.0504822023999861</x:v>
      </x:c>
      <x:c r="P429" s="66" t="n">
        <x:v>-0.0136768229848607</x:v>
      </x:c>
      <x:c r="Q429" s="66" t="n">
        <x:v>4.59092792383574e-8</x:v>
      </x:c>
      <x:c r="R429" s="66" t="str">
        <x:v>C:\Users\admin\.codex\.chatgpt-projects\g-p-6910508be2a081919b9cb5881a96c92b\overnight_refinement_2026-08-27\reports\R058_7k_Mp1p55_Ap0p25_Op0p0001_ise_report.json</x:v>
      </x:c>
    </x:row>
    <x:row r="430">
      <x:c r="A430" s="66" t="str">
        <x:v>R059_7k_Mp1p55_Ap0p5_Op0p00001_ise</x:v>
      </x:c>
      <x:c r="B430" s="66" t="str">
        <x:v>7k</x:v>
      </x:c>
      <x:c r="C430" s="66" t="n">
        <x:v>1.55</x:v>
      </x:c>
      <x:c r="D430" s="66" t="n">
        <x:v>0.5</x:v>
      </x:c>
      <x:c r="E430" s="66" t="n">
        <x:v>0.00001</x:v>
      </x:c>
      <x:c r="F430" s="66" t="str">
        <x:v>isentropic</x:v>
      </x:c>
      <x:c r="G430" s="66" t="str">
        <x:v>FQRUP</x:v>
      </x:c>
      <x:c r="H430" s="66" t="str">
        <x:v>OK</x:v>
      </x:c>
      <x:c r="I430" s="66" t="n">
        <x:v>1</x:v>
      </x:c>
      <x:c r="J430" s="66" t="n">
        <x:v>0</x:v>
      </x:c>
      <x:c r="K430" s="66" t="n">
        <x:v>6.344</x:v>
      </x:c>
      <x:c r="L430" s="66" t="n">
        <x:v>0.0499464280122004</x:v>
      </x:c>
      <x:c r="M430" s="66" t="n">
        <x:v>0.000343765255175367</x:v>
      </x:c>
      <x:c r="N430" s="66" t="n">
        <x:v>-0.0162467911803429</x:v>
      </x:c>
      <x:c r="O430" s="66" t="n">
        <x:v>0.0498027480052962</x:v>
      </x:c>
      <x:c r="P430" s="66" t="n">
        <x:v>-0.0166820318293831</x:v>
      </x:c>
      <x:c r="Q430" s="66" t="n">
        <x:v>4.62954784920757e-9</x:v>
      </x:c>
      <x:c r="R430" s="66" t="str">
        <x:v>C:\Users\admin\.codex\.chatgpt-projects\g-p-6910508be2a081919b9cb5881a96c92b\overnight_refinement_2026-08-27\reports\R059_7k_Mp1p55_Ap0p5_Op0p00001_ise_report.json</x:v>
      </x:c>
    </x:row>
    <x:row r="431">
      <x:c r="A431" s="66" t="str">
        <x:v>R060_7k_Mp1p55_Ap0p5_Op0p0001_ise</x:v>
      </x:c>
      <x:c r="B431" s="66" t="str">
        <x:v>7k</x:v>
      </x:c>
      <x:c r="C431" s="66" t="n">
        <x:v>1.55</x:v>
      </x:c>
      <x:c r="D431" s="66" t="n">
        <x:v>0.5</x:v>
      </x:c>
      <x:c r="E431" s="66" t="n">
        <x:v>0.0001</x:v>
      </x:c>
      <x:c r="F431" s="66" t="str">
        <x:v>isentropic</x:v>
      </x:c>
      <x:c r="G431" s="66" t="str">
        <x:v>FQRUP</x:v>
      </x:c>
      <x:c r="H431" s="66" t="str">
        <x:v>OK</x:v>
      </x:c>
      <x:c r="I431" s="66" t="n">
        <x:v>1</x:v>
      </x:c>
      <x:c r="J431" s="66" t="n">
        <x:v>0</x:v>
      </x:c>
      <x:c r="K431" s="66" t="n">
        <x:v>6.313</x:v>
      </x:c>
      <x:c r="L431" s="66" t="n">
        <x:v>0.049947915650442</x:v>
      </x:c>
      <x:c r="M431" s="66" t="n">
        <x:v>0.000338292334806982</x:v>
      </x:c>
      <x:c r="N431" s="66" t="n">
        <x:v>-0.0162318987125647</x:v>
      </x:c>
      <x:c r="O431" s="66" t="n">
        <x:v>0.0498043655465418</x:v>
      </x:c>
      <x:c r="P431" s="66" t="n">
        <x:v>-0.0166671529105924</x:v>
      </x:c>
      <x:c r="Q431" s="66" t="n">
        <x:v>4.65552549065442e-8</x:v>
      </x:c>
      <x:c r="R431" s="66" t="str">
        <x:v>C:\Users\admin\.codex\.chatgpt-projects\g-p-6910508be2a081919b9cb5881a96c92b\overnight_refinement_2026-08-27\reports\R060_7k_Mp1p55_Ap0p5_Op0p0001_ise_report.json</x:v>
      </x:c>
    </x:row>
    <x:row r="432">
      <x:c r="A432" s="66" t="str">
        <x:v>R061_7k_Mp1p55_Ap0p75_Op0p00001_ise</x:v>
      </x:c>
      <x:c r="B432" s="66" t="str">
        <x:v>7k</x:v>
      </x:c>
      <x:c r="C432" s="66" t="n">
        <x:v>1.55</x:v>
      </x:c>
      <x:c r="D432" s="66" t="n">
        <x:v>0.75</x:v>
      </x:c>
      <x:c r="E432" s="66" t="n">
        <x:v>0.00001</x:v>
      </x:c>
      <x:c r="F432" s="66" t="str">
        <x:v>isentropic</x:v>
      </x:c>
      <x:c r="G432" s="66" t="str">
        <x:v>FQRUP</x:v>
      </x:c>
      <x:c r="H432" s="66" t="str">
        <x:v>OK</x:v>
      </x:c>
      <x:c r="I432" s="66" t="n">
        <x:v>1</x:v>
      </x:c>
      <x:c r="J432" s="66" t="n">
        <x:v>0</x:v>
      </x:c>
      <x:c r="K432" s="66" t="n">
        <x:v>6.312</x:v>
      </x:c>
      <x:c r="L432" s="66" t="n">
        <x:v>0.0493397426512399</x:v>
      </x:c>
      <x:c r="M432" s="66" t="n">
        <x:v>0.000765491431712787</x:v>
      </x:c>
      <x:c r="N432" s="66" t="n">
        <x:v>-0.0186547838412501</x:v>
      </x:c>
      <x:c r="O432" s="66" t="n">
        <x:v>0.0490913320198363</x:v>
      </x:c>
      <x:c r="P432" s="66" t="n">
        <x:v>-0.019299022917561</x:v>
      </x:c>
      <x:c r="Q432" s="66" t="n">
        <x:v>4.6969998117573e-9</x:v>
      </x:c>
      <x:c r="R432" s="66" t="str">
        <x:v>C:\Users\admin\.codex\.chatgpt-projects\g-p-6910508be2a081919b9cb5881a96c92b\overnight_refinement_2026-08-27\reports\R061_7k_Mp1p55_Ap0p75_Op0p00001_ise_report.json</x:v>
      </x:c>
    </x:row>
    <x:row r="433">
      <x:c r="A433" s="66" t="str">
        <x:v>R062_7k_Mp1p55_Ap0p75_Op0p0001_ise</x:v>
      </x:c>
      <x:c r="B433" s="66" t="str">
        <x:v>7k</x:v>
      </x:c>
      <x:c r="C433" s="66" t="n">
        <x:v>1.55</x:v>
      </x:c>
      <x:c r="D433" s="66" t="n">
        <x:v>0.75</x:v>
      </x:c>
      <x:c r="E433" s="66" t="n">
        <x:v>0.0001</x:v>
      </x:c>
      <x:c r="F433" s="66" t="str">
        <x:v>isentropic</x:v>
      </x:c>
      <x:c r="G433" s="66" t="str">
        <x:v>FQRUP</x:v>
      </x:c>
      <x:c r="H433" s="66" t="str">
        <x:v>OK</x:v>
      </x:c>
      <x:c r="I433" s="66" t="n">
        <x:v>1</x:v>
      </x:c>
      <x:c r="J433" s="66" t="n">
        <x:v>0</x:v>
      </x:c>
      <x:c r="K433" s="66" t="n">
        <x:v>6.328</x:v>
      </x:c>
      <x:c r="L433" s="66" t="n">
        <x:v>0.0493415859732165</x:v>
      </x:c>
      <x:c r="M433" s="66" t="n">
        <x:v>0.00075852622776044</x:v>
      </x:c>
      <x:c r="N433" s="66" t="n">
        <x:v>-0.0186386581886032</x:v>
      </x:c>
      <x:c r="O433" s="66" t="n">
        <x:v>0.0490933862621625</x:v>
      </x:c>
      <x:c r="P433" s="66" t="n">
        <x:v>-0.0192829227747771</x:v>
      </x:c>
      <x:c r="Q433" s="66" t="n">
        <x:v>4.72279850536965e-8</x:v>
      </x:c>
      <x:c r="R433" s="66" t="str">
        <x:v>C:\Users\admin\.codex\.chatgpt-projects\g-p-6910508be2a081919b9cb5881a96c92b\overnight_refinement_2026-08-27\reports\R062_7k_Mp1p55_Ap0p75_Op0p0001_ise_report.json</x:v>
      </x:c>
    </x:row>
    <x:row r="434">
      <x:c r="A434" s="66" t="str">
        <x:v>R063_7k_Mp1p55_Ap1_Op0p00001_ise</x:v>
      </x:c>
      <x:c r="B434" s="66" t="str">
        <x:v>7k</x:v>
      </x:c>
      <x:c r="C434" s="66" t="n">
        <x:v>1.55</x:v>
      </x:c>
      <x:c r="D434" s="66" t="n">
        <x:v>1</x:v>
      </x:c>
      <x:c r="E434" s="66" t="n">
        <x:v>0.00001</x:v>
      </x:c>
      <x:c r="F434" s="66" t="str">
        <x:v>isentropic</x:v>
      </x:c>
      <x:c r="G434" s="66" t="str">
        <x:v>FQRUP</x:v>
      </x:c>
      <x:c r="H434" s="66" t="str">
        <x:v>OK</x:v>
      </x:c>
      <x:c r="I434" s="66" t="n">
        <x:v>1</x:v>
      </x:c>
      <x:c r="J434" s="66" t="n">
        <x:v>0</x:v>
      </x:c>
      <x:c r="K434" s="66" t="n">
        <x:v>6.36</x:v>
      </x:c>
      <x:c r="L434" s="66" t="n">
        <x:v>0.0485695805835009</x:v>
      </x:c>
      <x:c r="M434" s="66" t="n">
        <x:v>0.00118031289384096</x:v>
      </x:c>
      <x:c r="N434" s="66" t="n">
        <x:v>-0.0209489003077479</x:v>
      </x:c>
      <x:c r="O434" s="66" t="n">
        <x:v>0.048196574478541</x:v>
      </x:c>
      <x:c r="P434" s="66" t="n">
        <x:v>-0.0217933657495944</x:v>
      </x:c>
      <x:c r="Q434" s="66" t="n">
        <x:v>4.7667905882524e-9</x:v>
      </x:c>
      <x:c r="R434" s="66" t="str">
        <x:v>C:\Users\admin\.codex\.chatgpt-projects\g-p-6910508be2a081919b9cb5881a96c92b\overnight_refinement_2026-08-27\reports\R063_7k_Mp1p55_Ap1_Op0p00001_ise_report.json</x:v>
      </x:c>
    </x:row>
    <x:row r="435">
      <x:c r="A435" s="66" t="str">
        <x:v>R064_7k_Mp1p55_Ap1_Op0p0001_ise</x:v>
      </x:c>
      <x:c r="B435" s="66" t="str">
        <x:v>7k</x:v>
      </x:c>
      <x:c r="C435" s="66" t="n">
        <x:v>1.55</x:v>
      </x:c>
      <x:c r="D435" s="66" t="n">
        <x:v>1</x:v>
      </x:c>
      <x:c r="E435" s="66" t="n">
        <x:v>0.0001</x:v>
      </x:c>
      <x:c r="F435" s="66" t="str">
        <x:v>isentropic</x:v>
      </x:c>
      <x:c r="G435" s="66" t="str">
        <x:v>FQRUP</x:v>
      </x:c>
      <x:c r="H435" s="66" t="str">
        <x:v>OK</x:v>
      </x:c>
      <x:c r="I435" s="66" t="n">
        <x:v>1</x:v>
      </x:c>
      <x:c r="J435" s="66" t="n">
        <x:v>0</x:v>
      </x:c>
      <x:c r="K435" s="66" t="n">
        <x:v>6.281</x:v>
      </x:c>
      <x:c r="L435" s="66" t="n">
        <x:v>0.0485706601042771</x:v>
      </x:c>
      <x:c r="M435" s="66" t="n">
        <x:v>0.00117812240890068</x:v>
      </x:c>
      <x:c r="N435" s="66" t="n">
        <x:v>-0.0209315022084158</x:v>
      </x:c>
      <x:c r="O435" s="66" t="n">
        <x:v>0.0481979574736018</x:v>
      </x:c>
      <x:c r="P435" s="66" t="n">
        <x:v>-0.0217759891403124</x:v>
      </x:c>
      <x:c r="Q435" s="66" t="n">
        <x:v>4.79265228962753e-8</x:v>
      </x:c>
      <x:c r="R435" s="66" t="str">
        <x:v>C:\Users\admin\.codex\.chatgpt-projects\g-p-6910508be2a081919b9cb5881a96c92b\overnight_refinement_2026-08-27\reports\R064_7k_Mp1p55_Ap1_Op0p0001_ise_report.json</x:v>
      </x:c>
    </x:row>
    <x:row r="436">
      <x:c r="A436" s="66" t="str">
        <x:v>R065_7k_Mp1p55_Ap1p5_Op0p00001_ise</x:v>
      </x:c>
      <x:c r="B436" s="66" t="str">
        <x:v>7k</x:v>
      </x:c>
      <x:c r="C436" s="66" t="n">
        <x:v>1.55</x:v>
      </x:c>
      <x:c r="D436" s="66" t="n">
        <x:v>1.5</x:v>
      </x:c>
      <x:c r="E436" s="66" t="n">
        <x:v>0.00001</x:v>
      </x:c>
      <x:c r="F436" s="66" t="str">
        <x:v>isentropic</x:v>
      </x:c>
      <x:c r="G436" s="66" t="str">
        <x:v>FQRUP</x:v>
      </x:c>
      <x:c r="H436" s="66" t="str">
        <x:v>OK</x:v>
      </x:c>
      <x:c r="I436" s="66" t="n">
        <x:v>1</x:v>
      </x:c>
      <x:c r="J436" s="66" t="n">
        <x:v>0</x:v>
      </x:c>
      <x:c r="K436" s="66" t="n">
        <x:v>6.344</x:v>
      </x:c>
      <x:c r="L436" s="66" t="n">
        <x:v>0.0468408530751253</x:v>
      </x:c>
      <x:c r="M436" s="66" t="n">
        <x:v>0.00106438004621502</x:v>
      </x:c>
      <x:c r="N436" s="66" t="n">
        <x:v>-0.0253817431776029</x:v>
      </x:c>
      <x:c r="O436" s="66" t="n">
        <x:v>0.046160385305529</x:v>
      </x:c>
      <x:c r="P436" s="66" t="n">
        <x:v>-0.0265991960777834</x:v>
      </x:c>
      <x:c r="Q436" s="66" t="n">
        <x:v>4.91362706708124e-9</x:v>
      </x:c>
      <x:c r="R436" s="66" t="str">
        <x:v>C:\Users\admin\.codex\.chatgpt-projects\g-p-6910508be2a081919b9cb5881a96c92b\overnight_refinement_2026-08-27\reports\R065_7k_Mp1p55_Ap1p5_Op0p00001_ise_report.json</x:v>
      </x:c>
    </x:row>
    <x:row r="437">
      <x:c r="A437" s="66" t="str">
        <x:v>R066_7k_Mp1p55_Ap1p5_Op0p0001_ise</x:v>
      </x:c>
      <x:c r="B437" s="66" t="str">
        <x:v>7k</x:v>
      </x:c>
      <x:c r="C437" s="66" t="n">
        <x:v>1.55</x:v>
      </x:c>
      <x:c r="D437" s="66" t="n">
        <x:v>1.5</x:v>
      </x:c>
      <x:c r="E437" s="66" t="n">
        <x:v>0.0001</x:v>
      </x:c>
      <x:c r="F437" s="66" t="str">
        <x:v>isentropic</x:v>
      </x:c>
      <x:c r="G437" s="66" t="str">
        <x:v>FQRUP</x:v>
      </x:c>
      <x:c r="H437" s="66" t="str">
        <x:v>OK</x:v>
      </x:c>
      <x:c r="I437" s="66" t="n">
        <x:v>1</x:v>
      </x:c>
      <x:c r="J437" s="66" t="n">
        <x:v>0</x:v>
      </x:c>
      <x:c r="K437" s="66" t="n">
        <x:v>6.343</x:v>
      </x:c>
      <x:c r="L437" s="66" t="n">
        <x:v>0.0468416129476988</x:v>
      </x:c>
      <x:c r="M437" s="66" t="n">
        <x:v>0.00106353943805218</x:v>
      </x:c>
      <x:c r="N437" s="66" t="n">
        <x:v>-0.0253609984322022</x:v>
      </x:c>
      <x:c r="O437" s="66" t="n">
        <x:v>0.0461616879518412</x:v>
      </x:c>
      <x:c r="P437" s="66" t="n">
        <x:v>-0.0265784783322339</x:v>
      </x:c>
      <x:c r="Q437" s="66" t="n">
        <x:v>4.93951404691856e-8</x:v>
      </x:c>
      <x:c r="R437" s="66" t="str">
        <x:v>C:\Users\admin\.codex\.chatgpt-projects\g-p-6910508be2a081919b9cb5881a96c92b\overnight_refinement_2026-08-27\reports\R066_7k_Mp1p55_Ap1p5_Op0p0001_ise_report.json</x:v>
      </x:c>
    </x:row>
    <x:row r="438">
      <x:c r="A438" s="66" t="str">
        <x:v>R067_13k_Mp1p2_Am1p5_Op0p00001_ise</x:v>
      </x:c>
      <x:c r="B438" s="66" t="str">
        <x:v>13k</x:v>
      </x:c>
      <x:c r="C438" s="66" t="n">
        <x:v>1.2</x:v>
      </x:c>
      <x:c r="D438" s="66" t="n">
        <x:v>-1.5</x:v>
      </x:c>
      <x:c r="E438" s="66" t="n">
        <x:v>0.00001</x:v>
      </x:c>
      <x:c r="F438" s="66" t="str">
        <x:v>isentropic</x:v>
      </x:c>
      <x:c r="G438" s="66" t="str">
        <x:v>FQRUP</x:v>
      </x:c>
      <x:c r="H438" s="66" t="str">
        <x:v>OK</x:v>
      </x:c>
      <x:c r="I438" s="66" t="n">
        <x:v>1</x:v>
      </x:c>
      <x:c r="J438" s="66" t="n">
        <x:v>0</x:v>
      </x:c>
      <x:c r="K438" s="66" t="n">
        <x:v>37.172</x:v>
      </x:c>
      <x:c r="L438" s="66" t="n">
        <x:v>0.0454568739796346</x:v>
      </x:c>
      <x:c r="M438" s="66" t="n">
        <x:v>-0.000179816948758554</x:v>
      </x:c>
      <x:c r="N438" s="66" t="n">
        <x:v>0.00688990335804128</x:v>
      </x:c>
      <x:c r="O438" s="66" t="n">
        <x:v>0.0452609404001828</x:v>
      </x:c>
      <x:c r="P438" s="66" t="n">
        <x:v>0.00807746460064205</x:v>
      </x:c>
      <x:c r="Q438" s="66" t="n">
        <x:v>6.44534034855686e-9</x:v>
      </x:c>
      <x:c r="R438" s="66" t="str">
        <x:v>C:\Users\admin\.codex\.chatgpt-projects\g-p-6910508be2a081919b9cb5881a96c92b\overnight_refinement_2026-08-27\reports\R067_13k_Mp1p2_Am1p5_Op0p00001_ise_report.json</x:v>
      </x:c>
    </x:row>
    <x:row r="439">
      <x:c r="A439" s="66" t="str">
        <x:v>R068_13k_Mp1p2_Am1p5_Op0p0001_ise</x:v>
      </x:c>
      <x:c r="B439" s="66" t="str">
        <x:v>13k</x:v>
      </x:c>
      <x:c r="C439" s="66" t="n">
        <x:v>1.2</x:v>
      </x:c>
      <x:c r="D439" s="66" t="n">
        <x:v>-1.5</x:v>
      </x:c>
      <x:c r="E439" s="66" t="n">
        <x:v>0.0001</x:v>
      </x:c>
      <x:c r="F439" s="66" t="str">
        <x:v>isentropic</x:v>
      </x:c>
      <x:c r="G439" s="66" t="str">
        <x:v>FQRUP</x:v>
      </x:c>
      <x:c r="H439" s="66" t="str">
        <x:v>OK</x:v>
      </x:c>
      <x:c r="I439" s="66" t="n">
        <x:v>1</x:v>
      </x:c>
      <x:c r="J439" s="66" t="n">
        <x:v>0</x:v>
      </x:c>
      <x:c r="K439" s="66" t="n">
        <x:v>37.235</x:v>
      </x:c>
      <x:c r="L439" s="66" t="n">
        <x:v>0.0454487737118277</x:v>
      </x:c>
      <x:c r="M439" s="66" t="n">
        <x:v>-0.000180813753323225</x:v>
      </x:c>
      <x:c r="N439" s="66" t="n">
        <x:v>0.00689201175518357</x:v>
      </x:c>
      <x:c r="O439" s="66" t="n">
        <x:v>0.0452527877167324</x:v>
      </x:c>
      <x:c r="P439" s="66" t="n">
        <x:v>0.00807936023499764</x:v>
      </x:c>
      <x:c r="Q439" s="66" t="n">
        <x:v>6.45044971902913e-8</x:v>
      </x:c>
      <x:c r="R439" s="66" t="str">
        <x:v>C:\Users\admin\.codex\.chatgpt-projects\g-p-6910508be2a081919b9cb5881a96c92b\overnight_refinement_2026-08-27\reports\R068_13k_Mp1p2_Am1p5_Op0p0001_ise_report.json</x:v>
      </x:c>
    </x:row>
    <x:row r="440">
      <x:c r="A440" s="66" t="str">
        <x:v>R069_13k_Mp1p2_Am1_Op0p00001_ise</x:v>
      </x:c>
      <x:c r="B440" s="66" t="str">
        <x:v>13k</x:v>
      </x:c>
      <x:c r="C440" s="66" t="n">
        <x:v>1.2</x:v>
      </x:c>
      <x:c r="D440" s="66" t="n">
        <x:v>-1</x:v>
      </x:c>
      <x:c r="E440" s="66" t="n">
        <x:v>0.00001</x:v>
      </x:c>
      <x:c r="F440" s="66" t="str">
        <x:v>isentropic</x:v>
      </x:c>
      <x:c r="G440" s="66" t="str">
        <x:v>FQRUP</x:v>
      </x:c>
      <x:c r="H440" s="66" t="str">
        <x:v>OK</x:v>
      </x:c>
      <x:c r="I440" s="66" t="n">
        <x:v>1</x:v>
      </x:c>
      <x:c r="J440" s="66" t="n">
        <x:v>0</x:v>
      </x:c>
      <x:c r="K440" s="66" t="n">
        <x:v>37.047</x:v>
      </x:c>
      <x:c r="L440" s="66" t="n">
        <x:v>0.0466495538142279</x:v>
      </x:c>
      <x:c r="M440" s="66" t="n">
        <x:v>-0.000282239568616815</x:v>
      </x:c>
      <x:c r="N440" s="66" t="n">
        <x:v>0.00595622828277065</x:v>
      </x:c>
      <x:c r="O440" s="66" t="n">
        <x:v>0.0465384983444056</x:v>
      </x:c>
      <x:c r="P440" s="66" t="n">
        <x:v>0.00676946809363738</x:v>
      </x:c>
      <x:c r="Q440" s="66" t="n">
        <x:v>6.49952305923299e-9</x:v>
      </x:c>
      <x:c r="R440" s="66" t="str">
        <x:v>C:\Users\admin\.codex\.chatgpt-projects\g-p-6910508be2a081919b9cb5881a96c92b\overnight_refinement_2026-08-27\reports\R069_13k_Mp1p2_Am1_Op0p00001_ise_report.json</x:v>
      </x:c>
    </x:row>
    <x:row r="441">
      <x:c r="A441" s="66" t="str">
        <x:v>R070_13k_Mp1p2_Am1_Op0p0001_ise</x:v>
      </x:c>
      <x:c r="B441" s="66" t="str">
        <x:v>13k</x:v>
      </x:c>
      <x:c r="C441" s="66" t="n">
        <x:v>1.2</x:v>
      </x:c>
      <x:c r="D441" s="66" t="n">
        <x:v>-1</x:v>
      </x:c>
      <x:c r="E441" s="66" t="n">
        <x:v>0.0001</x:v>
      </x:c>
      <x:c r="F441" s="66" t="str">
        <x:v>isentropic</x:v>
      </x:c>
      <x:c r="G441" s="66" t="str">
        <x:v>FQRUP</x:v>
      </x:c>
      <x:c r="H441" s="66" t="str">
        <x:v>OK</x:v>
      </x:c>
      <x:c r="I441" s="66" t="n">
        <x:v>1</x:v>
      </x:c>
      <x:c r="J441" s="66" t="n">
        <x:v>0</x:v>
      </x:c>
      <x:c r="K441" s="66" t="n">
        <x:v>36.797</x:v>
      </x:c>
      <x:c r="L441" s="66" t="n">
        <x:v>0.0466416283589691</x:v>
      </x:c>
      <x:c r="M441" s="66" t="n">
        <x:v>-0.00028363574161788</x:v>
      </x:c>
      <x:c r="N441" s="66" t="n">
        <x:v>0.00595895795630043</x:v>
      </x:c>
      <x:c r="O441" s="66" t="n">
        <x:v>0.0465305264568602</x:v>
      </x:c>
      <x:c r="P441" s="66" t="n">
        <x:v>0.00677205903315828</x:v>
      </x:c>
      <x:c r="Q441" s="66" t="n">
        <x:v>6.50388983506454e-8</x:v>
      </x:c>
      <x:c r="R441" s="66" t="str">
        <x:v>C:\Users\admin\.codex\.chatgpt-projects\g-p-6910508be2a081919b9cb5881a96c92b\overnight_refinement_2026-08-27\reports\R070_13k_Mp1p2_Am1_Op0p0001_ise_report.json</x:v>
      </x:c>
    </x:row>
    <x:row r="442">
      <x:c r="A442" s="66" t="str">
        <x:v>R071_13k_Mp1p2_Am0p5_Op0p00001_ise</x:v>
      </x:c>
      <x:c r="B442" s="66" t="str">
        <x:v>13k</x:v>
      </x:c>
      <x:c r="C442" s="66" t="n">
        <x:v>1.2</x:v>
      </x:c>
      <x:c r="D442" s="66" t="n">
        <x:v>-0.5</x:v>
      </x:c>
      <x:c r="E442" s="66" t="n">
        <x:v>0.00001</x:v>
      </x:c>
      <x:c r="F442" s="66" t="str">
        <x:v>isentropic</x:v>
      </x:c>
      <x:c r="G442" s="66" t="str">
        <x:v>FQRUP</x:v>
      </x:c>
      <x:c r="H442" s="66" t="str">
        <x:v>OK</x:v>
      </x:c>
      <x:c r="I442" s="66" t="n">
        <x:v>1</x:v>
      </x:c>
      <x:c r="J442" s="66" t="n">
        <x:v>0</x:v>
      </x:c>
      <x:c r="K442" s="66" t="n">
        <x:v>36.765</x:v>
      </x:c>
      <x:c r="L442" s="66" t="n">
        <x:v>0.0475512386211063</x:v>
      </x:c>
      <x:c r="M442" s="66" t="n">
        <x:v>-0.000278341135660111</x:v>
      </x:c>
      <x:c r="N442" s="66" t="n">
        <x:v>0.00402885833257732</x:v>
      </x:c>
      <x:c r="O442" s="66" t="n">
        <x:v>0.0475142700403876</x:v>
      </x:c>
      <x:c r="P442" s="66" t="n">
        <x:v>0.00444366249781586</x:v>
      </x:c>
      <x:c r="Q442" s="66" t="n">
        <x:v>6.55711487765495e-9</x:v>
      </x:c>
      <x:c r="R442" s="66" t="str">
        <x:v>C:\Users\admin\.codex\.chatgpt-projects\g-p-6910508be2a081919b9cb5881a96c92b\overnight_refinement_2026-08-27\reports\R071_13k_Mp1p2_Am0p5_Op0p00001_ise_report.json</x:v>
      </x:c>
    </x:row>
    <x:row r="443">
      <x:c r="A443" s="66" t="str">
        <x:v>R072_13k_Mp1p2_Am0p5_Op0p0001_ise</x:v>
      </x:c>
      <x:c r="B443" s="66" t="str">
        <x:v>13k</x:v>
      </x:c>
      <x:c r="C443" s="66" t="n">
        <x:v>1.2</x:v>
      </x:c>
      <x:c r="D443" s="66" t="n">
        <x:v>-0.5</x:v>
      </x:c>
      <x:c r="E443" s="66" t="n">
        <x:v>0.0001</x:v>
      </x:c>
      <x:c r="F443" s="66" t="str">
        <x:v>isentropic</x:v>
      </x:c>
      <x:c r="G443" s="66" t="str">
        <x:v>FQRUP</x:v>
      </x:c>
      <x:c r="H443" s="66" t="str">
        <x:v>OK</x:v>
      </x:c>
      <x:c r="I443" s="66" t="n">
        <x:v>1</x:v>
      </x:c>
      <x:c r="J443" s="66" t="n">
        <x:v>0</x:v>
      </x:c>
      <x:c r="K443" s="66" t="n">
        <x:v>37</x:v>
      </x:c>
      <x:c r="L443" s="66" t="n">
        <x:v>0.0475426108961299</x:v>
      </x:c>
      <x:c r="M443" s="66" t="n">
        <x:v>-0.000279879617453</x:v>
      </x:c>
      <x:c r="N443" s="66" t="n">
        <x:v>0.00403661677266856</x:v>
      </x:c>
      <x:c r="O443" s="66" t="n">
        <x:v>0.0475055749396256</x:v>
      </x:c>
      <x:c r="P443" s="66" t="n">
        <x:v>0.0044513453523412</x:v>
      </x:c>
      <x:c r="Q443" s="66" t="n">
        <x:v>6.56072360986899e-8</x:v>
      </x:c>
      <x:c r="R443" s="66" t="str">
        <x:v>C:\Users\admin\.codex\.chatgpt-projects\g-p-6910508be2a081919b9cb5881a96c92b\overnight_refinement_2026-08-27\reports\R072_13k_Mp1p2_Am0p5_Op0p0001_ise_report.json</x:v>
      </x:c>
    </x:row>
    <x:row r="444">
      <x:c r="A444" s="66" t="str">
        <x:v>R073_13k_Mp1p2_Ap0p5_Op0p00001_ise</x:v>
      </x:c>
      <x:c r="B444" s="66" t="str">
        <x:v>13k</x:v>
      </x:c>
      <x:c r="C444" s="66" t="n">
        <x:v>1.2</x:v>
      </x:c>
      <x:c r="D444" s="66" t="n">
        <x:v>0.5</x:v>
      </x:c>
      <x:c r="E444" s="66" t="n">
        <x:v>0.00001</x:v>
      </x:c>
      <x:c r="F444" s="66" t="str">
        <x:v>isentropic</x:v>
      </x:c>
      <x:c r="G444" s="66" t="str">
        <x:v>FQRUP</x:v>
      </x:c>
      <x:c r="H444" s="66" t="str">
        <x:v>OK</x:v>
      </x:c>
      <x:c r="I444" s="66" t="n">
        <x:v>1</x:v>
      </x:c>
      <x:c r="J444" s="66" t="n">
        <x:v>0</x:v>
      </x:c>
      <x:c r="K444" s="66" t="n">
        <x:v>37.015</x:v>
      </x:c>
      <x:c r="L444" s="66" t="n">
        <x:v>0.0480706809658554</x:v>
      </x:c>
      <x:c r="M444" s="66" t="n">
        <x:v>-0.000592090032163507</x:v>
      </x:c>
      <x:c r="N444" s="66" t="n">
        <x:v>-0.00117658590494072</x:v>
      </x:c>
      <x:c r="O444" s="66" t="n">
        <x:v>0.0480585830629547</x:v>
      </x:c>
      <x:c r="P444" s="66" t="n">
        <x:v>-0.00159603160803427</x:v>
      </x:c>
      <x:c r="Q444" s="66" t="n">
        <x:v>6.68243990517299e-9</x:v>
      </x:c>
      <x:c r="R444" s="66" t="str">
        <x:v>C:\Users\admin\.codex\.chatgpt-projects\g-p-6910508be2a081919b9cb5881a96c92b\overnight_refinement_2026-08-27\reports\R073_13k_Mp1p2_Ap0p5_Op0p00001_ise_report.json</x:v>
      </x:c>
    </x:row>
    <x:row r="445">
      <x:c r="A445" s="66" t="str">
        <x:v>R074_13k_Mp1p2_Ap0p5_Op0p0001_ise</x:v>
      </x:c>
      <x:c r="B445" s="66" t="str">
        <x:v>13k</x:v>
      </x:c>
      <x:c r="C445" s="66" t="n">
        <x:v>1.2</x:v>
      </x:c>
      <x:c r="D445" s="66" t="n">
        <x:v>0.5</x:v>
      </x:c>
      <x:c r="E445" s="66" t="n">
        <x:v>0.0001</x:v>
      </x:c>
      <x:c r="F445" s="66" t="str">
        <x:v>isentropic</x:v>
      </x:c>
      <x:c r="G445" s="66" t="str">
        <x:v>FQRUP</x:v>
      </x:c>
      <x:c r="H445" s="66" t="str">
        <x:v>OK</x:v>
      </x:c>
      <x:c r="I445" s="66" t="n">
        <x:v>1</x:v>
      </x:c>
      <x:c r="J445" s="66" t="n">
        <x:v>0</x:v>
      </x:c>
      <x:c r="K445" s="66" t="n">
        <x:v>36.969</x:v>
      </x:c>
      <x:c r="L445" s="66" t="n">
        <x:v>0.04806338691107</x:v>
      </x:c>
      <x:c r="M445" s="66" t="n">
        <x:v>-0.000593217442771509</x:v>
      </x:c>
      <x:c r="N445" s="66" t="n">
        <x:v>-0.00116582207046884</x:v>
      </x:c>
      <x:c r="O445" s="66" t="n">
        <x:v>0.0480513832168881</x:v>
      </x:c>
      <x:c r="P445" s="66" t="n">
        <x:v>-0.00158520453158821</x:v>
      </x:c>
      <x:c r="Q445" s="66" t="n">
        <x:v>6.68448352424162e-8</x:v>
      </x:c>
      <x:c r="R445" s="66" t="str">
        <x:v>C:\Users\admin\.codex\.chatgpt-projects\g-p-6910508be2a081919b9cb5881a96c92b\overnight_refinement_2026-08-27\reports\R074_13k_Mp1p2_Ap0p5_Op0p0001_ise_report.json</x:v>
      </x:c>
    </x:row>
    <x:row r="446">
      <x:c r="A446" s="66" t="str">
        <x:v>R075_13k_Mp1p2_Ap1_Op0p00001_ise</x:v>
      </x:c>
      <x:c r="B446" s="66" t="str">
        <x:v>13k</x:v>
      </x:c>
      <x:c r="C446" s="66" t="n">
        <x:v>1.2</x:v>
      </x:c>
      <x:c r="D446" s="66" t="n">
        <x:v>1</x:v>
      </x:c>
      <x:c r="E446" s="66" t="n">
        <x:v>0.00001</x:v>
      </x:c>
      <x:c r="F446" s="66" t="str">
        <x:v>isentropic</x:v>
      </x:c>
      <x:c r="G446" s="66" t="str">
        <x:v>FQRUP</x:v>
      </x:c>
      <x:c r="H446" s="66" t="str">
        <x:v>OK</x:v>
      </x:c>
      <x:c r="I446" s="66" t="n">
        <x:v>1</x:v>
      </x:c>
      <x:c r="J446" s="66" t="n">
        <x:v>0</x:v>
      </x:c>
      <x:c r="K446" s="66" t="n">
        <x:v>36.594</x:v>
      </x:c>
      <x:c r="L446" s="66" t="n">
        <x:v>0.0476380158896578</x:v>
      </x:c>
      <x:c r="M446" s="66" t="n">
        <x:v>-0.000628198923521651</x:v>
      </x:c>
      <x:c r="N446" s="66" t="n">
        <x:v>-0.00347896634976526</x:v>
      </x:c>
      <x:c r="O446" s="66" t="n">
        <x:v>0.0475700440543802</x:v>
      </x:c>
      <x:c r="P446" s="66" t="n">
        <x:v>-0.00430983450151152</x:v>
      </x:c>
      <x:c r="Q446" s="66" t="n">
        <x:v>6.74991211289419e-9</x:v>
      </x:c>
      <x:c r="R446" s="66" t="str">
        <x:v>C:\Users\admin\.codex\.chatgpt-projects\g-p-6910508be2a081919b9cb5881a96c92b\overnight_refinement_2026-08-27\reports\R075_13k_Mp1p2_Ap1_Op0p00001_ise_report.json</x:v>
      </x:c>
    </x:row>
    <x:row r="447">
      <x:c r="A447" s="66" t="str">
        <x:v>R076_13k_Mp1p2_Ap1_Op0p0001_ise</x:v>
      </x:c>
      <x:c r="B447" s="66" t="str">
        <x:v>13k</x:v>
      </x:c>
      <x:c r="C447" s="66" t="n">
        <x:v>1.2</x:v>
      </x:c>
      <x:c r="D447" s="66" t="n">
        <x:v>1</x:v>
      </x:c>
      <x:c r="E447" s="66" t="n">
        <x:v>0.0001</x:v>
      </x:c>
      <x:c r="F447" s="66" t="str">
        <x:v>isentropic</x:v>
      </x:c>
      <x:c r="G447" s="66" t="str">
        <x:v>FQRUP</x:v>
      </x:c>
      <x:c r="H447" s="66" t="str">
        <x:v>OK</x:v>
      </x:c>
      <x:c r="I447" s="66" t="n">
        <x:v>1</x:v>
      </x:c>
      <x:c r="J447" s="66" t="n">
        <x:v>0</x:v>
      </x:c>
      <x:c r="K447" s="66" t="n">
        <x:v>36.859</x:v>
      </x:c>
      <x:c r="L447" s="66" t="n">
        <x:v>0.0476310733837441</x:v>
      </x:c>
      <x:c r="M447" s="66" t="n">
        <x:v>-0.00062770718652768</x:v>
      </x:c>
      <x:c r="N447" s="66" t="n">
        <x:v>-0.00346444574361078</x:v>
      </x:c>
      <x:c r="O447" s="66" t="n">
        <x:v>0.0475633560253641</x:v>
      </x:c>
      <x:c r="P447" s="66" t="n">
        <x:v>-0.00429519494348079</x:v>
      </x:c>
      <x:c r="Q447" s="66" t="n">
        <x:v>6.75115217945881e-8</x:v>
      </x:c>
      <x:c r="R447" s="66" t="str">
        <x:v>C:\Users\admin\.codex\.chatgpt-projects\g-p-6910508be2a081919b9cb5881a96c92b\overnight_refinement_2026-08-27\reports\R076_13k_Mp1p2_Ap1_Op0p0001_ise_report.json</x:v>
      </x:c>
    </x:row>
    <x:row r="448">
      <x:c r="A448" s="66" t="str">
        <x:v>R077_13k_Mp1p2_Ap1p25_Op0p00001_ise</x:v>
      </x:c>
      <x:c r="B448" s="66" t="str">
        <x:v>13k</x:v>
      </x:c>
      <x:c r="C448" s="66" t="n">
        <x:v>1.2</x:v>
      </x:c>
      <x:c r="D448" s="66" t="n">
        <x:v>1.25</x:v>
      </x:c>
      <x:c r="E448" s="66" t="n">
        <x:v>0.00001</x:v>
      </x:c>
      <x:c r="F448" s="66" t="str">
        <x:v>isentropic</x:v>
      </x:c>
      <x:c r="G448" s="66" t="str">
        <x:v>FQRUP</x:v>
      </x:c>
      <x:c r="H448" s="66" t="str">
        <x:v>OK</x:v>
      </x:c>
      <x:c r="I448" s="66" t="n">
        <x:v>1</x:v>
      </x:c>
      <x:c r="J448" s="66" t="n">
        <x:v>0</x:v>
      </x:c>
      <x:c r="K448" s="66" t="n">
        <x:v>36.875</x:v>
      </x:c>
      <x:c r="L448" s="66" t="n">
        <x:v>0.0472937517581872</x:v>
      </x:c>
      <x:c r="M448" s="66" t="n">
        <x:v>-0.000612058858735976</x:v>
      </x:c>
      <x:c r="N448" s="66" t="n">
        <x:v>-0.00431232444008366</x:v>
      </x:c>
      <x:c r="O448" s="66" t="n">
        <x:v>0.0471884242640871</x:v>
      </x:c>
      <x:c r="P448" s="66" t="n">
        <x:v>-0.0053430059811022</x:v>
      </x:c>
      <x:c r="Q448" s="66" t="n">
        <x:v>6.7848314149344e-9</x:v>
      </x:c>
      <x:c r="R448" s="66" t="str">
        <x:v>C:\Users\admin\.codex\.chatgpt-projects\g-p-6910508be2a081919b9cb5881a96c92b\overnight_refinement_2026-08-27\reports\R077_13k_Mp1p2_Ap1p25_Op0p00001_ise_report.json</x:v>
      </x:c>
    </x:row>
    <x:row r="449">
      <x:c r="A449" s="66" t="str">
        <x:v>R078_13k_Mp1p2_Ap1p25_Op0p0001_ise</x:v>
      </x:c>
      <x:c r="B449" s="66" t="str">
        <x:v>13k</x:v>
      </x:c>
      <x:c r="C449" s="66" t="n">
        <x:v>1.2</x:v>
      </x:c>
      <x:c r="D449" s="66" t="n">
        <x:v>1.25</x:v>
      </x:c>
      <x:c r="E449" s="66" t="n">
        <x:v>0.0001</x:v>
      </x:c>
      <x:c r="F449" s="66" t="str">
        <x:v>isentropic</x:v>
      </x:c>
      <x:c r="G449" s="66" t="str">
        <x:v>FQRUP</x:v>
      </x:c>
      <x:c r="H449" s="66" t="str">
        <x:v>OK</x:v>
      </x:c>
      <x:c r="I449" s="66" t="n">
        <x:v>1</x:v>
      </x:c>
      <x:c r="J449" s="66" t="n">
        <x:v>0</x:v>
      </x:c>
      <x:c r="K449" s="66" t="n">
        <x:v>37.141</x:v>
      </x:c>
      <x:c r="L449" s="66" t="n">
        <x:v>0.0472864881786935</x:v>
      </x:c>
      <x:c r="M449" s="66" t="n">
        <x:v>-0.0006111709421451</x:v>
      </x:c>
      <x:c r="N449" s="66" t="n">
        <x:v>-0.00429559999885975</x:v>
      </x:c>
      <x:c r="O449" s="66" t="n">
        <x:v>0.0471815272548912</x:v>
      </x:c>
      <x:c r="P449" s="66" t="n">
        <x:v>-0.00532612706569081</x:v>
      </x:c>
      <x:c r="Q449" s="66" t="n">
        <x:v>6.78566563033044e-8</x:v>
      </x:c>
      <x:c r="R449" s="66" t="str">
        <x:v>C:\Users\admin\.codex\.chatgpt-projects\g-p-6910508be2a081919b9cb5881a96c92b\overnight_refinement_2026-08-27\reports\R078_13k_Mp1p2_Ap1p25_Op0p0001_ise_report.json</x:v>
      </x:c>
    </x:row>
    <x:row r="450">
      <x:c r="A450" s="66" t="str">
        <x:v>R079_13k_Mp1p2_Ap1p5_Op0p00001_ise</x:v>
      </x:c>
      <x:c r="B450" s="66" t="str">
        <x:v>13k</x:v>
      </x:c>
      <x:c r="C450" s="66" t="n">
        <x:v>1.2</x:v>
      </x:c>
      <x:c r="D450" s="66" t="n">
        <x:v>1.5</x:v>
      </x:c>
      <x:c r="E450" s="66" t="n">
        <x:v>0.00001</x:v>
      </x:c>
      <x:c r="F450" s="66" t="str">
        <x:v>isentropic</x:v>
      </x:c>
      <x:c r="G450" s="66" t="str">
        <x:v>FQRUP</x:v>
      </x:c>
      <x:c r="H450" s="66" t="str">
        <x:v>OK</x:v>
      </x:c>
      <x:c r="I450" s="66" t="n">
        <x:v>1</x:v>
      </x:c>
      <x:c r="J450" s="66" t="n">
        <x:v>0</x:v>
      </x:c>
      <x:c r="K450" s="66" t="n">
        <x:v>36.968</x:v>
      </x:c>
      <x:c r="L450" s="66" t="n">
        <x:v>0.046873156715468</x:v>
      </x:c>
      <x:c r="M450" s="66" t="n">
        <x:v>-0.000598700085368807</x:v>
      </x:c>
      <x:c r="N450" s="66" t="n">
        <x:v>-0.00492350874839763</x:v>
      </x:c>
      <x:c r="O450" s="66" t="n">
        <x:v>0.0467282120213447</x:v>
      </x:c>
      <x:c r="P450" s="66" t="n">
        <x:v>-0.00614881778528457</x:v>
      </x:c>
      <x:c r="Q450" s="66" t="n">
        <x:v>6.82145190682619e-9</x:v>
      </x:c>
      <x:c r="R450" s="66" t="str">
        <x:v>C:\Users\admin\.codex\.chatgpt-projects\g-p-6910508be2a081919b9cb5881a96c92b\overnight_refinement_2026-08-27\reports\R079_13k_Mp1p2_Ap1p5_Op0p00001_ise_report.json</x:v>
      </x:c>
    </x:row>
    <x:row r="451">
      <x:c r="A451" s="66" t="str">
        <x:v>R080_13k_Mp1p2_Ap1p5_Op0p0001_ise</x:v>
      </x:c>
      <x:c r="B451" s="66" t="str">
        <x:v>13k</x:v>
      </x:c>
      <x:c r="C451" s="66" t="n">
        <x:v>1.2</x:v>
      </x:c>
      <x:c r="D451" s="66" t="n">
        <x:v>1.5</x:v>
      </x:c>
      <x:c r="E451" s="66" t="n">
        <x:v>0.0001</x:v>
      </x:c>
      <x:c r="F451" s="66" t="str">
        <x:v>isentropic</x:v>
      </x:c>
      <x:c r="G451" s="66" t="str">
        <x:v>FQRUP</x:v>
      </x:c>
      <x:c r="H451" s="66" t="str">
        <x:v>OK</x:v>
      </x:c>
      <x:c r="I451" s="66" t="n">
        <x:v>1</x:v>
      </x:c>
      <x:c r="J451" s="66" t="n">
        <x:v>0</x:v>
      </x:c>
      <x:c r="K451" s="66" t="n">
        <x:v>36.656</x:v>
      </x:c>
      <x:c r="L451" s="66" t="n">
        <x:v>0.0468838583505018</x:v>
      </x:c>
      <x:c r="M451" s="66" t="n">
        <x:v>-0.000609558441692902</x:v>
      </x:c>
      <x:c r="N451" s="66" t="n">
        <x:v>-0.00489833436679446</x:v>
      </x:c>
      <x:c r="O451" s="66" t="n">
        <x:v>0.0467395689776813</x:v>
      </x:c>
      <x:c r="P451" s="66" t="n">
        <x:v>-0.00612393216646032</x:v>
      </x:c>
      <x:c r="Q451" s="66" t="n">
        <x:v>6.82187495752048e-8</x:v>
      </x:c>
      <x:c r="R451" s="66" t="str">
        <x:v>C:\Users\admin\.codex\.chatgpt-projects\g-p-6910508be2a081919b9cb5881a96c92b\overnight_refinement_2026-08-27\reports\R080_13k_Mp1p2_Ap1p5_Op0p0001_ise_report.json</x:v>
      </x:c>
    </x:row>
    <x:row r="452">
      <x:c r="A452" s="66" t="str">
        <x:v>R081_13k_Mp1p25_Am1p5_Op0p00001_ise</x:v>
      </x:c>
      <x:c r="B452" s="66" t="str">
        <x:v>13k</x:v>
      </x:c>
      <x:c r="C452" s="66" t="n">
        <x:v>1.25</x:v>
      </x:c>
      <x:c r="D452" s="66" t="n">
        <x:v>-1.5</x:v>
      </x:c>
      <x:c r="E452" s="66" t="n">
        <x:v>0.00001</x:v>
      </x:c>
      <x:c r="F452" s="66" t="str">
        <x:v>isentropic</x:v>
      </x:c>
      <x:c r="G452" s="66" t="str">
        <x:v>FQRUP</x:v>
      </x:c>
      <x:c r="H452" s="66" t="str">
        <x:v>OK</x:v>
      </x:c>
      <x:c r="I452" s="66" t="n">
        <x:v>1</x:v>
      </x:c>
      <x:c r="J452" s="66" t="n">
        <x:v>0</x:v>
      </x:c>
      <x:c r="K452" s="66" t="n">
        <x:v>33.937</x:v>
      </x:c>
      <x:c r="L452" s="66" t="n">
        <x:v>0.0432067039813929</x:v>
      </x:c>
      <x:c r="M452" s="66" t="n">
        <x:v>-0.0000206341500617443</x:v>
      </x:c>
      <x:c r="N452" s="66" t="n">
        <x:v>0.0068758935549708</x:v>
      </x:c>
      <x:c r="O452" s="66" t="n">
        <x:v>0.0430119082128911</x:v>
      </x:c>
      <x:c r="P452" s="66" t="n">
        <x:v>0.00800455701465328</x:v>
      </x:c>
      <x:c r="Q452" s="66" t="n">
        <x:v>6.64015850195419e-9</x:v>
      </x:c>
      <x:c r="R452" s="66" t="str">
        <x:v>C:\Users\admin\.codex\.chatgpt-projects\g-p-6910508be2a081919b9cb5881a96c92b\overnight_refinement_2026-08-27\reports\R081_13k_Mp1p25_Am1p5_Op0p00001_ise_report.json</x:v>
      </x:c>
    </x:row>
    <x:row r="453">
      <x:c r="A453" s="66" t="str">
        <x:v>R082_13k_Mp1p25_Am1p5_Op0p0001_ise</x:v>
      </x:c>
      <x:c r="B453" s="66" t="str">
        <x:v>13k</x:v>
      </x:c>
      <x:c r="C453" s="66" t="n">
        <x:v>1.25</x:v>
      </x:c>
      <x:c r="D453" s="66" t="n">
        <x:v>-1.5</x:v>
      </x:c>
      <x:c r="E453" s="66" t="n">
        <x:v>0.0001</x:v>
      </x:c>
      <x:c r="F453" s="66" t="str">
        <x:v>isentropic</x:v>
      </x:c>
      <x:c r="G453" s="66" t="str">
        <x:v>FQRUP</x:v>
      </x:c>
      <x:c r="H453" s="66" t="str">
        <x:v>OK</x:v>
      </x:c>
      <x:c r="I453" s="66" t="n">
        <x:v>1</x:v>
      </x:c>
      <x:c r="J453" s="66" t="n">
        <x:v>0</x:v>
      </x:c>
      <x:c r="K453" s="66" t="n">
        <x:v>33.828</x:v>
      </x:c>
      <x:c r="L453" s="66" t="n">
        <x:v>0.0432032494003151</x:v>
      </x:c>
      <x:c r="M453" s="66" t="n">
        <x:v>-0.0000220690776747632</x:v>
      </x:c>
      <x:c r="N453" s="66" t="n">
        <x:v>0.00687615696724982</x:v>
      </x:c>
      <x:c r="O453" s="66" t="n">
        <x:v>0.0430084479202823</x:v>
      </x:c>
      <x:c r="P453" s="66" t="n">
        <x:v>0.0080047299062772</x:v>
      </x:c>
      <x:c r="Q453" s="66" t="n">
        <x:v>6.64957409925823e-8</x:v>
      </x:c>
      <x:c r="R453" s="66" t="str">
        <x:v>C:\Users\admin\.codex\.chatgpt-projects\g-p-6910508be2a081919b9cb5881a96c92b\overnight_refinement_2026-08-27\reports\R082_13k_Mp1p25_Am1p5_Op0p0001_ise_report.json</x:v>
      </x:c>
    </x:row>
    <x:row r="454">
      <x:c r="A454" s="66" t="str">
        <x:v>R083_13k_Mp1p25_Am1_Op0p00001_ise</x:v>
      </x:c>
      <x:c r="B454" s="66" t="str">
        <x:v>13k</x:v>
      </x:c>
      <x:c r="C454" s="66" t="n">
        <x:v>1.25</x:v>
      </x:c>
      <x:c r="D454" s="66" t="n">
        <x:v>-1</x:v>
      </x:c>
      <x:c r="E454" s="66" t="n">
        <x:v>0.00001</x:v>
      </x:c>
      <x:c r="F454" s="66" t="str">
        <x:v>isentropic</x:v>
      </x:c>
      <x:c r="G454" s="66" t="str">
        <x:v>FQRUP</x:v>
      </x:c>
      <x:c r="H454" s="66" t="str">
        <x:v>OK</x:v>
      </x:c>
      <x:c r="I454" s="66" t="n">
        <x:v>1</x:v>
      </x:c>
      <x:c r="J454" s="66" t="n">
        <x:v>0</x:v>
      </x:c>
      <x:c r="K454" s="66" t="n">
        <x:v>34.125</x:v>
      </x:c>
      <x:c r="L454" s="66" t="n">
        <x:v>0.0441156855663951</x:v>
      </x:c>
      <x:c r="M454" s="66" t="n">
        <x:v>0.000154951736920798</x:v>
      </x:c>
      <x:c r="N454" s="66" t="n">
        <x:v>0.00491952072377049</x:v>
      </x:c>
      <x:c r="O454" s="66" t="n">
        <x:v>0.0440231090586563</x:v>
      </x:c>
      <x:c r="P454" s="66" t="n">
        <x:v>0.00568869633170016</x:v>
      </x:c>
      <x:c r="Q454" s="66" t="n">
        <x:v>6.70715850076867e-9</x:v>
      </x:c>
      <x:c r="R454" s="66" t="str">
        <x:v>C:\Users\admin\.codex\.chatgpt-projects\g-p-6910508be2a081919b9cb5881a96c92b\overnight_refinement_2026-08-27\reports\R083_13k_Mp1p25_Am1_Op0p00001_ise_report.json</x:v>
      </x:c>
    </x:row>
    <x:row r="455">
      <x:c r="A455" s="66" t="str">
        <x:v>R084_13k_Mp1p25_Am1_Op0p0001_ise</x:v>
      </x:c>
      <x:c r="B455" s="66" t="str">
        <x:v>13k</x:v>
      </x:c>
      <x:c r="C455" s="66" t="n">
        <x:v>1.25</x:v>
      </x:c>
      <x:c r="D455" s="66" t="n">
        <x:v>-1</x:v>
      </x:c>
      <x:c r="E455" s="66" t="n">
        <x:v>0.0001</x:v>
      </x:c>
      <x:c r="F455" s="66" t="str">
        <x:v>isentropic</x:v>
      </x:c>
      <x:c r="G455" s="66" t="str">
        <x:v>FQRUP</x:v>
      </x:c>
      <x:c r="H455" s="66" t="str">
        <x:v>OK</x:v>
      </x:c>
      <x:c r="I455" s="66" t="n">
        <x:v>1</x:v>
      </x:c>
      <x:c r="J455" s="66" t="n">
        <x:v>0</x:v>
      </x:c>
      <x:c r="K455" s="66" t="n">
        <x:v>34.141</x:v>
      </x:c>
      <x:c r="L455" s="66" t="n">
        <x:v>0.0441122321213403</x:v>
      </x:c>
      <x:c r="M455" s="66" t="n">
        <x:v>0.000155159863439838</x:v>
      </x:c>
      <x:c r="N455" s="66" t="n">
        <x:v>0.00492295287217541</x:v>
      </x:c>
      <x:c r="O455" s="66" t="n">
        <x:v>0.044019596240329</x:v>
      </x:c>
      <x:c r="P455" s="66" t="n">
        <x:v>0.00569206768644554</x:v>
      </x:c>
      <x:c r="Q455" s="66" t="n">
        <x:v>6.71590259701709e-8</x:v>
      </x:c>
      <x:c r="R455" s="66" t="str">
        <x:v>C:\Users\admin\.codex\.chatgpt-projects\g-p-6910508be2a081919b9cb5881a96c92b\overnight_refinement_2026-08-27\reports\R084_13k_Mp1p25_Am1_Op0p0001_ise_report.json</x:v>
      </x:c>
    </x:row>
    <x:row r="456">
      <x:c r="A456" s="66" t="str">
        <x:v>R085_13k_Mp1p25_Am0p5_Op0p00001_ise</x:v>
      </x:c>
      <x:c r="B456" s="66" t="str">
        <x:v>13k</x:v>
      </x:c>
      <x:c r="C456" s="66" t="n">
        <x:v>1.25</x:v>
      </x:c>
      <x:c r="D456" s="66" t="n">
        <x:v>-0.5</x:v>
      </x:c>
      <x:c r="E456" s="66" t="n">
        <x:v>0.00001</x:v>
      </x:c>
      <x:c r="F456" s="66" t="str">
        <x:v>isentropic</x:v>
      </x:c>
      <x:c r="G456" s="66" t="str">
        <x:v>FQRUP</x:v>
      </x:c>
      <x:c r="H456" s="66" t="str">
        <x:v>OK</x:v>
      </x:c>
      <x:c r="I456" s="66" t="n">
        <x:v>1</x:v>
      </x:c>
      <x:c r="J456" s="66" t="n">
        <x:v>0</x:v>
      </x:c>
      <x:c r="K456" s="66" t="n">
        <x:v>33.86</x:v>
      </x:c>
      <x:c r="L456" s="66" t="n">
        <x:v>0.0446724708089193</x:v>
      </x:c>
      <x:c r="M456" s="66" t="n">
        <x:v>0.0000819507968203403</x:v>
      </x:c>
      <x:c r="N456" s="66" t="n">
        <x:v>0.00239792486020371</x:v>
      </x:c>
      <x:c r="O456" s="66" t="n">
        <x:v>0.0446498442417</x:v>
      </x:c>
      <x:c r="P456" s="66" t="n">
        <x:v>0.00278766945688679</x:v>
      </x:c>
      <x:c r="Q456" s="66" t="n">
        <x:v>6.77647566311325e-9</x:v>
      </x:c>
      <x:c r="R456" s="66" t="str">
        <x:v>C:\Users\admin\.codex\.chatgpt-projects\g-p-6910508be2a081919b9cb5881a96c92b\overnight_refinement_2026-08-27\reports\R085_13k_Mp1p25_Am0p5_Op0p00001_ise_report.json</x:v>
      </x:c>
    </x:row>
    <x:row r="457">
      <x:c r="A457" s="66" t="str">
        <x:v>R086_13k_Mp1p25_Am0p5_Op0p0001_ise</x:v>
      </x:c>
      <x:c r="B457" s="66" t="str">
        <x:v>13k</x:v>
      </x:c>
      <x:c r="C457" s="66" t="n">
        <x:v>1.25</x:v>
      </x:c>
      <x:c r="D457" s="66" t="n">
        <x:v>-0.5</x:v>
      </x:c>
      <x:c r="E457" s="66" t="n">
        <x:v>0.0001</x:v>
      </x:c>
      <x:c r="F457" s="66" t="str">
        <x:v>isentropic</x:v>
      </x:c>
      <x:c r="G457" s="66" t="str">
        <x:v>FQRUP</x:v>
      </x:c>
      <x:c r="H457" s="66" t="str">
        <x:v>OK</x:v>
      </x:c>
      <x:c r="I457" s="66" t="n">
        <x:v>1</x:v>
      </x:c>
      <x:c r="J457" s="66" t="n">
        <x:v>0</x:v>
      </x:c>
      <x:c r="K457" s="66" t="n">
        <x:v>33.938</x:v>
      </x:c>
      <x:c r="L457" s="66" t="n">
        <x:v>0.0446693661001465</x:v>
      </x:c>
      <x:c r="M457" s="66" t="n">
        <x:v>0.0000820158151172123</x:v>
      </x:c>
      <x:c r="N457" s="66" t="n">
        <x:v>0.00240634201393093</x:v>
      </x:c>
      <x:c r="O457" s="66" t="n">
        <x:v>0.0446466661985542</x:v>
      </x:c>
      <x:c r="P457" s="66" t="n">
        <x:v>0.00279605919676327</x:v>
      </x:c>
      <x:c r="Q457" s="66" t="n">
        <x:v>6.78504351934781e-8</x:v>
      </x:c>
      <x:c r="R457" s="66" t="str">
        <x:v>C:\Users\admin\.codex\.chatgpt-projects\g-p-6910508be2a081919b9cb5881a96c92b\overnight_refinement_2026-08-27\reports\R086_13k_Mp1p25_Am0p5_Op0p0001_ise_report.json</x:v>
      </x:c>
    </x:row>
    <x:row r="458">
      <x:c r="A458" s="66" t="str">
        <x:v>R087_13k_Mp1p25_Am0p25_Op0p00001_ise</x:v>
      </x:c>
      <x:c r="B458" s="66" t="str">
        <x:v>13k</x:v>
      </x:c>
      <x:c r="C458" s="66" t="n">
        <x:v>1.25</x:v>
      </x:c>
      <x:c r="D458" s="66" t="n">
        <x:v>-0.25</x:v>
      </x:c>
      <x:c r="E458" s="66" t="n">
        <x:v>0.00001</x:v>
      </x:c>
      <x:c r="F458" s="66" t="str">
        <x:v>isentropic</x:v>
      </x:c>
      <x:c r="G458" s="66" t="str">
        <x:v>FQRUP</x:v>
      </x:c>
      <x:c r="H458" s="66" t="str">
        <x:v>OK</x:v>
      </x:c>
      <x:c r="I458" s="66" t="n">
        <x:v>1</x:v>
      </x:c>
      <x:c r="J458" s="66" t="n">
        <x:v>0</x:v>
      </x:c>
      <x:c r="K458" s="66" t="n">
        <x:v>34.015</x:v>
      </x:c>
      <x:c r="L458" s="66" t="n">
        <x:v>0.044836151845203</x:v>
      </x:c>
      <x:c r="M458" s="66" t="n">
        <x:v>0.00000335369257021822</x:v>
      </x:c>
      <x:c r="N458" s="66" t="n">
        <x:v>0.00083049544476527</x:v>
      </x:c>
      <x:c r="O458" s="66" t="n">
        <x:v>0.0448321013288673</x:v>
      </x:c>
      <x:c r="P458" s="66" t="n">
        <x:v>0.00102612153668568</x:v>
      </x:c>
      <x:c r="Q458" s="66" t="n">
        <x:v>6.81237377897811e-9</x:v>
      </x:c>
      <x:c r="R458" s="66" t="str">
        <x:v>C:\Users\admin\.codex\.chatgpt-projects\g-p-6910508be2a081919b9cb5881a96c92b\overnight_refinement_2026-08-27\reports\R087_13k_Mp1p25_Am0p25_Op0p00001_ise_report.json</x:v>
      </x:c>
    </x:row>
    <x:row r="459">
      <x:c r="A459" s="66" t="str">
        <x:v>R088_13k_Mp1p25_Am0p25_Op0p0001_ise</x:v>
      </x:c>
      <x:c r="B459" s="66" t="str">
        <x:v>13k</x:v>
      </x:c>
      <x:c r="C459" s="66" t="n">
        <x:v>1.25</x:v>
      </x:c>
      <x:c r="D459" s="66" t="n">
        <x:v>-0.25</x:v>
      </x:c>
      <x:c r="E459" s="66" t="n">
        <x:v>0.0001</x:v>
      </x:c>
      <x:c r="F459" s="66" t="str">
        <x:v>isentropic</x:v>
      </x:c>
      <x:c r="G459" s="66" t="str">
        <x:v>FQRUP</x:v>
      </x:c>
      <x:c r="H459" s="66" t="str">
        <x:v>OK</x:v>
      </x:c>
      <x:c r="I459" s="66" t="n">
        <x:v>1</x:v>
      </x:c>
      <x:c r="J459" s="66" t="n">
        <x:v>0</x:v>
      </x:c>
      <x:c r="K459" s="66" t="n">
        <x:v>34.282</x:v>
      </x:c>
      <x:c r="L459" s="66" t="n">
        <x:v>0.0448333603523626</x:v>
      </x:c>
      <x:c r="M459" s="66" t="n">
        <x:v>0.00000386588169159918</x:v>
      </x:c>
      <x:c r="N459" s="66" t="n">
        <x:v>0.000840887049739929</x:v>
      </x:c>
      <x:c r="O459" s="66" t="n">
        <x:v>0.0448292645208134</x:v>
      </x:c>
      <x:c r="P459" s="66" t="n">
        <x:v>0.00103650086259312</x:v>
      </x:c>
      <x:c r="Q459" s="66" t="n">
        <x:v>6.8205997918765e-8</x:v>
      </x:c>
      <x:c r="R459" s="66" t="str">
        <x:v>C:\Users\admin\.codex\.chatgpt-projects\g-p-6910508be2a081919b9cb5881a96c92b\overnight_refinement_2026-08-27\reports\R088_13k_Mp1p25_Am0p25_Op0p0001_ise_report.json</x:v>
      </x:c>
    </x:row>
    <x:row r="460">
      <x:c r="A460" s="66" t="str">
        <x:v>R089_13k_Mp1p25_Ap0p25_Op0p00001_ise</x:v>
      </x:c>
      <x:c r="B460" s="66" t="str">
        <x:v>13k</x:v>
      </x:c>
      <x:c r="C460" s="66" t="n">
        <x:v>1.25</x:v>
      </x:c>
      <x:c r="D460" s="66" t="n">
        <x:v>0.25</x:v>
      </x:c>
      <x:c r="E460" s="66" t="n">
        <x:v>0.00001</x:v>
      </x:c>
      <x:c r="F460" s="66" t="str">
        <x:v>isentropic</x:v>
      </x:c>
      <x:c r="G460" s="66" t="str">
        <x:v>FQRUP</x:v>
      </x:c>
      <x:c r="H460" s="66" t="str">
        <x:v>OK</x:v>
      </x:c>
      <x:c r="I460" s="66" t="n">
        <x:v>1</x:v>
      </x:c>
      <x:c r="J460" s="66" t="n">
        <x:v>0</x:v>
      </x:c>
      <x:c r="K460" s="66" t="n">
        <x:v>34.188</x:v>
      </x:c>
      <x:c r="L460" s="66" t="n">
        <x:v>0.0449710395607069</x:v>
      </x:c>
      <x:c r="M460" s="66" t="n">
        <x:v>-0.000120462892499503</x:v>
      </x:c>
      <x:c r="N460" s="66" t="n">
        <x:v>-0.00251670882342133</x:v>
      </x:c>
      <x:c r="O460" s="66" t="n">
        <x:v>0.0449596302898462</x:v>
      </x:c>
      <x:c r="P460" s="66" t="n">
        <x:v>-0.00271290742062715</x:v>
      </x:c>
      <x:c r="Q460" s="66" t="n">
        <x:v>6.8866677062077e-9</x:v>
      </x:c>
      <x:c r="R460" s="66" t="str">
        <x:v>C:\Users\admin\.codex\.chatgpt-projects\g-p-6910508be2a081919b9cb5881a96c92b\overnight_refinement_2026-08-27\reports\R089_13k_Mp1p25_Ap0p25_Op0p00001_ise_report.json</x:v>
      </x:c>
    </x:row>
    <x:row r="461">
      <x:c r="A461" s="66" t="str">
        <x:v>R090_13k_Mp1p25_Ap0p25_Op0p0001_ise</x:v>
      </x:c>
      <x:c r="B461" s="66" t="str">
        <x:v>13k</x:v>
      </x:c>
      <x:c r="C461" s="66" t="n">
        <x:v>1.25</x:v>
      </x:c>
      <x:c r="D461" s="66" t="n">
        <x:v>0.25</x:v>
      </x:c>
      <x:c r="E461" s="66" t="n">
        <x:v>0.0001</x:v>
      </x:c>
      <x:c r="F461" s="66" t="str">
        <x:v>isentropic</x:v>
      </x:c>
      <x:c r="G461" s="66" t="str">
        <x:v>FQRUP</x:v>
      </x:c>
      <x:c r="H461" s="66" t="str">
        <x:v>OK</x:v>
      </x:c>
      <x:c r="I461" s="66" t="n">
        <x:v>1</x:v>
      </x:c>
      <x:c r="J461" s="66" t="n">
        <x:v>0</x:v>
      </x:c>
      <x:c r="K461" s="66" t="n">
        <x:v>33.531</x:v>
      </x:c>
      <x:c r="L461" s="66" t="n">
        <x:v>0.0449707352565846</x:v>
      </x:c>
      <x:c r="M461" s="66" t="n">
        <x:v>-0.000117437042916715</x:v>
      </x:c>
      <x:c r="N461" s="66" t="n">
        <x:v>-0.00250295859756685</x:v>
      </x:c>
      <x:c r="O461" s="66" t="n">
        <x:v>0.0449593859851088</x:v>
      </x:c>
      <x:c r="P461" s="66" t="n">
        <x:v>-0.00269915599789191</x:v>
      </x:c>
      <x:c r="Q461" s="66" t="n">
        <x:v>6.89461799686637e-8</x:v>
      </x:c>
      <x:c r="R461" s="66" t="str">
        <x:v>C:\Users\admin\.codex\.chatgpt-projects\g-p-6910508be2a081919b9cb5881a96c92b\overnight_refinement_2026-08-27\reports\R090_13k_Mp1p25_Ap0p25_Op0p0001_ise_report.json</x:v>
      </x:c>
    </x:row>
    <x:row r="462">
      <x:c r="A462" s="66" t="str">
        <x:v>R091_13k_Mp1p25_Ap0p5_Op0p00001_ise</x:v>
      </x:c>
      <x:c r="B462" s="66" t="str">
        <x:v>13k</x:v>
      </x:c>
      <x:c r="C462" s="66" t="n">
        <x:v>1.25</x:v>
      </x:c>
      <x:c r="D462" s="66" t="n">
        <x:v>0.5</x:v>
      </x:c>
      <x:c r="E462" s="66" t="n">
        <x:v>0.00001</x:v>
      </x:c>
      <x:c r="F462" s="66" t="str">
        <x:v>isentropic</x:v>
      </x:c>
      <x:c r="G462" s="66" t="str">
        <x:v>FQRUP</x:v>
      </x:c>
      <x:c r="H462" s="66" t="str">
        <x:v>OK</x:v>
      </x:c>
      <x:c r="I462" s="66" t="n">
        <x:v>1</x:v>
      </x:c>
      <x:c r="J462" s="66" t="n">
        <x:v>0</x:v>
      </x:c>
      <x:c r="K462" s="66" t="n">
        <x:v>33.656</x:v>
      </x:c>
      <x:c r="L462" s="66" t="n">
        <x:v>0.0449250498946672</x:v>
      </x:c>
      <x:c r="M462" s="66" t="n">
        <x:v>-0.000155085758955004</x:v>
      </x:c>
      <x:c r="N462" s="66" t="n">
        <x:v>-0.00421399744835234</x:v>
      </x:c>
      <x:c r="O462" s="66" t="n">
        <x:v>0.0448865656881022</x:v>
      </x:c>
      <x:c r="P462" s="66" t="n">
        <x:v>-0.00460587703491395</x:v>
      </x:c>
      <x:c r="Q462" s="66" t="n">
        <x:v>6.9251019543727e-9</x:v>
      </x:c>
      <x:c r="R462" s="66" t="str">
        <x:v>C:\Users\admin\.codex\.chatgpt-projects\g-p-6910508be2a081919b9cb5881a96c92b\overnight_refinement_2026-08-27\reports\R091_13k_Mp1p25_Ap0p5_Op0p00001_ise_report.json</x:v>
      </x:c>
    </x:row>
    <x:row r="463">
      <x:c r="A463" s="66" t="str">
        <x:v>R092_13k_Mp1p25_Ap0p5_Op0p0001_ise</x:v>
      </x:c>
      <x:c r="B463" s="66" t="str">
        <x:v>13k</x:v>
      </x:c>
      <x:c r="C463" s="66" t="n">
        <x:v>1.25</x:v>
      </x:c>
      <x:c r="D463" s="66" t="n">
        <x:v>0.5</x:v>
      </x:c>
      <x:c r="E463" s="66" t="n">
        <x:v>0.0001</x:v>
      </x:c>
      <x:c r="F463" s="66" t="str">
        <x:v>isentropic</x:v>
      </x:c>
      <x:c r="G463" s="66" t="str">
        <x:v>FQRUP</x:v>
      </x:c>
      <x:c r="H463" s="66" t="str">
        <x:v>OK</x:v>
      </x:c>
      <x:c r="I463" s="66" t="n">
        <x:v>1</x:v>
      </x:c>
      <x:c r="J463" s="66" t="n">
        <x:v>0</x:v>
      </x:c>
      <x:c r="K463" s="66" t="n">
        <x:v>33.828</x:v>
      </x:c>
      <x:c r="L463" s="66" t="n">
        <x:v>0.0449228013701366</x:v>
      </x:c>
      <x:c r="M463" s="66" t="n">
        <x:v>-0.000153492655170663</x:v>
      </x:c>
      <x:c r="N463" s="66" t="n">
        <x:v>-0.00419768993161421</x:v>
      </x:c>
      <x:c r="O463" s="66" t="n">
        <x:v>0.0448844595573122</x:v>
      </x:c>
      <x:c r="P463" s="66" t="n">
        <x:v>-0.00458955051728695</x:v>
      </x:c>
      <x:c r="Q463" s="66" t="n">
        <x:v>6.93230335306659e-8</x:v>
      </x:c>
      <x:c r="R463" s="66" t="str">
        <x:v>C:\Users\admin\.codex\.chatgpt-projects\g-p-6910508be2a081919b9cb5881a96c92b\overnight_refinement_2026-08-27\reports\R092_13k_Mp1p25_Ap0p5_Op0p0001_ise_report.json</x:v>
      </x:c>
    </x:row>
    <x:row r="464">
      <x:c r="A464" s="66" t="str">
        <x:v>R093_13k_Mp1p25_Ap1_Op0p00001_ise</x:v>
      </x:c>
      <x:c r="B464" s="66" t="str">
        <x:v>13k</x:v>
      </x:c>
      <x:c r="C464" s="66" t="n">
        <x:v>1.25</x:v>
      </x:c>
      <x:c r="D464" s="66" t="n">
        <x:v>1</x:v>
      </x:c>
      <x:c r="E464" s="66" t="n">
        <x:v>0.00001</x:v>
      </x:c>
      <x:c r="F464" s="66" t="str">
        <x:v>isentropic</x:v>
      </x:c>
      <x:c r="G464" s="66" t="str">
        <x:v>FQRUP</x:v>
      </x:c>
      <x:c r="H464" s="66" t="str">
        <x:v>OK</x:v>
      </x:c>
      <x:c r="I464" s="66" t="n">
        <x:v>1</x:v>
      </x:c>
      <x:c r="J464" s="66" t="n">
        <x:v>0</x:v>
      </x:c>
      <x:c r="K464" s="66" t="n">
        <x:v>34.25</x:v>
      </x:c>
      <x:c r="L464" s="66" t="n">
        <x:v>0.0445624408110721</x:v>
      </x:c>
      <x:c r="M464" s="66" t="n">
        <x:v>-0.000201292935595334</x:v>
      </x:c>
      <x:c r="N464" s="66" t="n">
        <x:v>-0.007261693511719</x:v>
      </x:c>
      <x:c r="O464" s="66" t="n">
        <x:v>0.044428919708904</x:v>
      </x:c>
      <x:c r="P464" s="66" t="n">
        <x:v>-0.00803830934949658</x:v>
      </x:c>
      <x:c r="Q464" s="66" t="n">
        <x:v>7.00491544320447e-9</x:v>
      </x:c>
      <x:c r="R464" s="66" t="str">
        <x:v>C:\Users\admin\.codex\.chatgpt-projects\g-p-6910508be2a081919b9cb5881a96c92b\overnight_refinement_2026-08-27\reports\R093_13k_Mp1p25_Ap1_Op0p00001_ise_report.json</x:v>
      </x:c>
    </x:row>
    <x:row r="465">
      <x:c r="A465" s="66" t="str">
        <x:v>R094_13k_Mp1p25_Ap1_Op0p0001_ise</x:v>
      </x:c>
      <x:c r="B465" s="66" t="str">
        <x:v>13k</x:v>
      </x:c>
      <x:c r="C465" s="66" t="n">
        <x:v>1.25</x:v>
      </x:c>
      <x:c r="D465" s="66" t="n">
        <x:v>1</x:v>
      </x:c>
      <x:c r="E465" s="66" t="n">
        <x:v>0.0001</x:v>
      </x:c>
      <x:c r="F465" s="66" t="str">
        <x:v>isentropic</x:v>
      </x:c>
      <x:c r="G465" s="66" t="str">
        <x:v>FQRUP</x:v>
      </x:c>
      <x:c r="H465" s="66" t="str">
        <x:v>OK</x:v>
      </x:c>
      <x:c r="I465" s="66" t="n">
        <x:v>1</x:v>
      </x:c>
      <x:c r="J465" s="66" t="n">
        <x:v>0</x:v>
      </x:c>
      <x:c r="K465" s="66" t="n">
        <x:v>34.203</x:v>
      </x:c>
      <x:c r="L465" s="66" t="n">
        <x:v>0.0445589017954633</x:v>
      </x:c>
      <x:c r="M465" s="66" t="n">
        <x:v>-0.000198622186466541</x:v>
      </x:c>
      <x:c r="N465" s="66" t="n">
        <x:v>-0.00724463981777698</x:v>
      </x:c>
      <x:c r="O465" s="66" t="n">
        <x:v>0.0444256788603024</x:v>
      </x:c>
      <x:c r="P465" s="66" t="n">
        <x:v>-0.00802119648857596</x:v>
      </x:c>
      <x:c r="Q465" s="66" t="n">
        <x:v>7.01144098088946e-8</x:v>
      </x:c>
      <x:c r="R465" s="66" t="str">
        <x:v>C:\Users\admin\.codex\.chatgpt-projects\g-p-6910508be2a081919b9cb5881a96c92b\overnight_refinement_2026-08-27\reports\R094_13k_Mp1p25_Ap1_Op0p0001_ise_report.json</x:v>
      </x:c>
    </x:row>
    <x:row r="466">
      <x:c r="A466" s="66" t="str">
        <x:v>R095_13k_Mp1p25_Ap1p5_Op0p00001_ise</x:v>
      </x:c>
      <x:c r="B466" s="66" t="str">
        <x:v>13k</x:v>
      </x:c>
      <x:c r="C466" s="66" t="n">
        <x:v>1.25</x:v>
      </x:c>
      <x:c r="D466" s="66" t="n">
        <x:v>1.5</x:v>
      </x:c>
      <x:c r="E466" s="66" t="n">
        <x:v>0.00001</x:v>
      </x:c>
      <x:c r="F466" s="66" t="str">
        <x:v>isentropic</x:v>
      </x:c>
      <x:c r="G466" s="66" t="str">
        <x:v>FQRUP</x:v>
      </x:c>
      <x:c r="H466" s="66" t="str">
        <x:v>OK</x:v>
      </x:c>
      <x:c r="I466" s="66" t="n">
        <x:v>1</x:v>
      </x:c>
      <x:c r="J466" s="66" t="n">
        <x:v>0</x:v>
      </x:c>
      <x:c r="K466" s="66" t="n">
        <x:v>34.172</x:v>
      </x:c>
      <x:c r="L466" s="66" t="n">
        <x:v>0.0439444544520659</x:v>
      </x:c>
      <x:c r="M466" s="66" t="n">
        <x:v>-0.000287732168581986</x:v>
      </x:c>
      <x:c r="N466" s="66" t="n">
        <x:v>-0.00946638273955338</x:v>
      </x:c>
      <x:c r="O466" s="66" t="n">
        <x:v>0.0436815947734266</x:v>
      </x:c>
      <x:c r="P466" s="66" t="n">
        <x:v>-0.0106134705592261</x:v>
      </x:c>
      <x:c r="Q466" s="66" t="n">
        <x:v>7.08885890038794e-9</x:v>
      </x:c>
      <x:c r="R466" s="66" t="str">
        <x:v>C:\Users\admin\.codex\.chatgpt-projects\g-p-6910508be2a081919b9cb5881a96c92b\overnight_refinement_2026-08-27\reports\R095_13k_Mp1p25_Ap1p5_Op0p00001_ise_report.json</x:v>
      </x:c>
    </x:row>
    <x:row r="467">
      <x:c r="A467" s="66" t="str">
        <x:v>R096_13k_Mp1p25_Ap1p5_Op0p0001_ise</x:v>
      </x:c>
      <x:c r="B467" s="66" t="str">
        <x:v>13k</x:v>
      </x:c>
      <x:c r="C467" s="66" t="n">
        <x:v>1.25</x:v>
      </x:c>
      <x:c r="D467" s="66" t="n">
        <x:v>1.5</x:v>
      </x:c>
      <x:c r="E467" s="66" t="n">
        <x:v>0.0001</x:v>
      </x:c>
      <x:c r="F467" s="66" t="str">
        <x:v>isentropic</x:v>
      </x:c>
      <x:c r="G467" s="66" t="str">
        <x:v>FQRUP</x:v>
      </x:c>
      <x:c r="H467" s="66" t="str">
        <x:v>OK</x:v>
      </x:c>
      <x:c r="I467" s="66" t="n">
        <x:v>1</x:v>
      </x:c>
      <x:c r="J467" s="66" t="n">
        <x:v>0</x:v>
      </x:c>
      <x:c r="K467" s="66" t="n">
        <x:v>33.875</x:v>
      </x:c>
      <x:c r="L467" s="66" t="n">
        <x:v>0.0439388291945674</x:v>
      </x:c>
      <x:c r="M467" s="66" t="n">
        <x:v>-0.000288183608301934</x:v>
      </x:c>
      <x:c r="N467" s="66" t="n">
        <x:v>-0.00944204271996075</x:v>
      </x:c>
      <x:c r="O467" s="66" t="n">
        <x:v>0.043676608590998</x:v>
      </x:c>
      <x:c r="P467" s="66" t="n">
        <x:v>-0.0105889916282756</x:v>
      </x:c>
      <x:c r="Q467" s="66" t="n">
        <x:v>7.09464565927192e-8</x:v>
      </x:c>
      <x:c r="R467" s="66" t="str">
        <x:v>C:\Users\admin\.codex\.chatgpt-projects\g-p-6910508be2a081919b9cb5881a96c92b\overnight_refinement_2026-08-27\reports\R096_13k_Mp1p25_Ap1p5_Op0p0001_ise_report.json</x:v>
      </x:c>
    </x:row>
    <x:row r="468">
      <x:c r="A468" s="66" t="str">
        <x:v>R097_13k_Mp1p5_Am1p75_Op0p00001_ise</x:v>
      </x:c>
      <x:c r="B468" s="66" t="str">
        <x:v>13k</x:v>
      </x:c>
      <x:c r="C468" s="66" t="n">
        <x:v>1.5</x:v>
      </x:c>
      <x:c r="D468" s="66" t="n">
        <x:v>-1.75</x:v>
      </x:c>
      <x:c r="E468" s="66" t="n">
        <x:v>0.00001</x:v>
      </x:c>
      <x:c r="F468" s="66" t="str">
        <x:v>isentropic</x:v>
      </x:c>
      <x:c r="G468" s="66" t="str">
        <x:v>FQRUP</x:v>
      </x:c>
      <x:c r="H468" s="66" t="str">
        <x:v>OK</x:v>
      </x:c>
      <x:c r="I468" s="66" t="n">
        <x:v>1</x:v>
      </x:c>
      <x:c r="J468" s="66" t="n">
        <x:v>0</x:v>
      </x:c>
      <x:c r="K468" s="66" t="n">
        <x:v>24.453</x:v>
      </x:c>
      <x:c r="L468" s="66" t="n">
        <x:v>0.0294633950251329</x:v>
      </x:c>
      <x:c r="M468" s="66" t="n">
        <x:v>-0.000649028394128674</x:v>
      </x:c>
      <x:c r="N468" s="66" t="n">
        <x:v>0.0186855804500427</x:v>
      </x:c>
      <x:c r="O468" s="66" t="n">
        <x:v>0.0288790231823048</x:v>
      </x:c>
      <x:c r="P468" s="66" t="n">
        <x:v>0.0195766336022807</x:v>
      </x:c>
      <x:c r="Q468" s="66" t="n">
        <x:v>4.804663007464e-9</x:v>
      </x:c>
      <x:c r="R468" s="66" t="str">
        <x:v>C:\Users\admin\.codex\.chatgpt-projects\g-p-6910508be2a081919b9cb5881a96c92b\overnight_refinement_2026-08-27\reports\R097_13k_Mp1p5_Am1p75_Op0p00001_ise_report.json</x:v>
      </x:c>
    </x:row>
    <x:row r="469">
      <x:c r="A469" s="66" t="str">
        <x:v>R098_13k_Mp1p5_Am1p75_Op0p0001_ise</x:v>
      </x:c>
      <x:c r="B469" s="66" t="str">
        <x:v>13k</x:v>
      </x:c>
      <x:c r="C469" s="66" t="n">
        <x:v>1.5</x:v>
      </x:c>
      <x:c r="D469" s="66" t="n">
        <x:v>-1.75</x:v>
      </x:c>
      <x:c r="E469" s="66" t="n">
        <x:v>0.0001</x:v>
      </x:c>
      <x:c r="F469" s="66" t="str">
        <x:v>isentropic</x:v>
      </x:c>
      <x:c r="G469" s="66" t="str">
        <x:v>FQRUP</x:v>
      </x:c>
      <x:c r="H469" s="66" t="str">
        <x:v>OK</x:v>
      </x:c>
      <x:c r="I469" s="66" t="n">
        <x:v>1</x:v>
      </x:c>
      <x:c r="J469" s="66" t="n">
        <x:v>0</x:v>
      </x:c>
      <x:c r="K469" s="66" t="n">
        <x:v>24.422</x:v>
      </x:c>
      <x:c r="L469" s="66" t="n">
        <x:v>0.0294631864396919</x:v>
      </x:c>
      <x:c r="M469" s="66" t="n">
        <x:v>-0.00064461107632072</x:v>
      </x:c>
      <x:c r="N469" s="66" t="n">
        <x:v>0.0186850976866065</x:v>
      </x:c>
      <x:c r="O469" s="66" t="n">
        <x:v>0.0288788294370275</x:v>
      </x:c>
      <x:c r="P469" s="66" t="n">
        <x:v>0.0195761446941205</x:v>
      </x:c>
      <x:c r="Q469" s="66" t="n">
        <x:v>4.84190241739118e-8</x:v>
      </x:c>
      <x:c r="R469" s="66" t="str">
        <x:v>C:\Users\admin\.codex\.chatgpt-projects\g-p-6910508be2a081919b9cb5881a96c92b\overnight_refinement_2026-08-27\reports\R098_13k_Mp1p5_Am1p75_Op0p0001_ise_report.json</x:v>
      </x:c>
    </x:row>
    <x:row r="470">
      <x:c r="A470" s="66" t="str">
        <x:v>R099_13k_Mp1p5_Am1p5_Op0p00001_ise</x:v>
      </x:c>
      <x:c r="B470" s="66" t="str">
        <x:v>13k</x:v>
      </x:c>
      <x:c r="C470" s="66" t="n">
        <x:v>1.5</x:v>
      </x:c>
      <x:c r="D470" s="66" t="n">
        <x:v>-1.5</x:v>
      </x:c>
      <x:c r="E470" s="66" t="n">
        <x:v>0.00001</x:v>
      </x:c>
      <x:c r="F470" s="66" t="str">
        <x:v>isentropic</x:v>
      </x:c>
      <x:c r="G470" s="66" t="str">
        <x:v>FQRUP</x:v>
      </x:c>
      <x:c r="H470" s="66" t="str">
        <x:v>OK</x:v>
      </x:c>
      <x:c r="I470" s="66" t="n">
        <x:v>1</x:v>
      </x:c>
      <x:c r="J470" s="66" t="n">
        <x:v>0</x:v>
      </x:c>
      <x:c r="K470" s="66" t="n">
        <x:v>24.578</x:v>
      </x:c>
      <x:c r="L470" s="66" t="n">
        <x:v>0.0295177375993788</x:v>
      </x:c>
      <x:c r="M470" s="66" t="n">
        <x:v>-0.000479593811314511</x:v>
      </x:c>
      <x:c r="N470" s="66" t="n">
        <x:v>0.0165414756152402</x:v>
      </x:c>
      <x:c r="O470" s="66" t="n">
        <x:v>0.0290746172558093</x:v>
      </x:c>
      <x:c r="P470" s="66" t="n">
        <x:v>0.0173084915559837</x:v>
      </x:c>
      <x:c r="Q470" s="66" t="n">
        <x:v>4.84311717235677e-9</x:v>
      </x:c>
      <x:c r="R470" s="66" t="str">
        <x:v>C:\Users\admin\.codex\.chatgpt-projects\g-p-6910508be2a081919b9cb5881a96c92b\overnight_refinement_2026-08-27\reports\R099_13k_Mp1p5_Am1p5_Op0p00001_ise_report.json</x:v>
      </x:c>
    </x:row>
    <x:row r="471">
      <x:c r="A471" s="66" t="str">
        <x:v>R100_13k_Mp1p5_Am1p5_Op0p0001_ise</x:v>
      </x:c>
      <x:c r="B471" s="66" t="str">
        <x:v>13k</x:v>
      </x:c>
      <x:c r="C471" s="66" t="n">
        <x:v>1.5</x:v>
      </x:c>
      <x:c r="D471" s="66" t="n">
        <x:v>-1.5</x:v>
      </x:c>
      <x:c r="E471" s="66" t="n">
        <x:v>0.0001</x:v>
      </x:c>
      <x:c r="F471" s="66" t="str">
        <x:v>isentropic</x:v>
      </x:c>
      <x:c r="G471" s="66" t="str">
        <x:v>FQRUP</x:v>
      </x:c>
      <x:c r="H471" s="66" t="str">
        <x:v>OK</x:v>
      </x:c>
      <x:c r="I471" s="66" t="n">
        <x:v>1</x:v>
      </x:c>
      <x:c r="J471" s="66" t="n">
        <x:v>0</x:v>
      </x:c>
      <x:c r="K471" s="66" t="n">
        <x:v>24.437</x:v>
      </x:c>
      <x:c r="L471" s="66" t="n">
        <x:v>0.0295172233656879</x:v>
      </x:c>
      <x:c r="M471" s="66" t="n">
        <x:v>-0.000473786774714289</x:v>
      </x:c>
      <x:c r="N471" s="66" t="n">
        <x:v>0.0165397544445833</x:v>
      </x:c>
      <x:c r="O471" s="66" t="n">
        <x:v>0.0290741482533288</x:v>
      </x:c>
      <x:c r="P471" s="66" t="n">
        <x:v>0.0173067575140603</x:v>
      </x:c>
      <x:c r="Q471" s="66" t="n">
        <x:v>4.88105735778359e-8</x:v>
      </x:c>
      <x:c r="R471" s="66" t="str">
        <x:v>C:\Users\admin\.codex\.chatgpt-projects\g-p-6910508be2a081919b9cb5881a96c92b\overnight_refinement_2026-08-27\reports\R100_13k_Mp1p5_Am1p5_Op0p0001_ise_report.json</x:v>
      </x:c>
    </x:row>
    <x:row r="472">
      <x:c r="A472" s="66" t="str">
        <x:v>R101_13k_Mp1p5_Am1p25_Op0p00001_ise</x:v>
      </x:c>
      <x:c r="B472" s="66" t="str">
        <x:v>13k</x:v>
      </x:c>
      <x:c r="C472" s="66" t="n">
        <x:v>1.5</x:v>
      </x:c>
      <x:c r="D472" s="66" t="n">
        <x:v>-1.25</x:v>
      </x:c>
      <x:c r="E472" s="66" t="n">
        <x:v>0.00001</x:v>
      </x:c>
      <x:c r="F472" s="66" t="str">
        <x:v>isentropic</x:v>
      </x:c>
      <x:c r="G472" s="66" t="str">
        <x:v>FQRUP</x:v>
      </x:c>
      <x:c r="H472" s="66" t="str">
        <x:v>OK</x:v>
      </x:c>
      <x:c r="I472" s="66" t="n">
        <x:v>1</x:v>
      </x:c>
      <x:c r="J472" s="66" t="n">
        <x:v>0</x:v>
      </x:c>
      <x:c r="K472" s="66" t="n">
        <x:v>24.453</x:v>
      </x:c>
      <x:c r="L472" s="66" t="n">
        <x:v>0.0296845811992761</x:v>
      </x:c>
      <x:c r="M472" s="66" t="n">
        <x:v>-0.000519464863947595</x:v>
      </x:c>
      <x:c r="N472" s="66" t="n">
        <x:v>0.0144881891036196</x:v>
      </x:c>
      <x:c r="O472" s="66" t="n">
        <x:v>0.029361458893152</x:v>
      </x:c>
      <x:c r="P472" s="66" t="n">
        <x:v>0.0151323070331131</x:v>
      </x:c>
      <x:c r="Q472" s="66" t="n">
        <x:v>4.88657065380216e-9</x:v>
      </x:c>
      <x:c r="R472" s="66" t="str">
        <x:v>C:\Users\admin\.codex\.chatgpt-projects\g-p-6910508be2a081919b9cb5881a96c92b\overnight_refinement_2026-08-27\reports\R101_13k_Mp1p5_Am1p25_Op0p00001_ise_report.json</x:v>
      </x:c>
    </x:row>
    <x:row r="473">
      <x:c r="A473" s="66" t="str">
        <x:v>R102_13k_Mp1p5_Am1p25_Op0p0001_ise</x:v>
      </x:c>
      <x:c r="B473" s="66" t="str">
        <x:v>13k</x:v>
      </x:c>
      <x:c r="C473" s="66" t="n">
        <x:v>1.5</x:v>
      </x:c>
      <x:c r="D473" s="66" t="n">
        <x:v>-1.25</x:v>
      </x:c>
      <x:c r="E473" s="66" t="n">
        <x:v>0.0001</x:v>
      </x:c>
      <x:c r="F473" s="66" t="str">
        <x:v>isentropic</x:v>
      </x:c>
      <x:c r="G473" s="66" t="str">
        <x:v>FQRUP</x:v>
      </x:c>
      <x:c r="H473" s="66" t="str">
        <x:v>OK</x:v>
      </x:c>
      <x:c r="I473" s="66" t="n">
        <x:v>1</x:v>
      </x:c>
      <x:c r="J473" s="66" t="n">
        <x:v>0</x:v>
      </x:c>
      <x:c r="K473" s="66" t="n">
        <x:v>24.078</x:v>
      </x:c>
      <x:c r="L473" s="66" t="n">
        <x:v>0.029683489995855</x:v>
      </x:c>
      <x:c r="M473" s="66" t="n">
        <x:v>-0.000512675014985601</x:v>
      </x:c>
      <x:c r="N473" s="66" t="n">
        <x:v>0.0144862861241382</x:v>
      </x:c>
      <x:c r="O473" s="66" t="n">
        <x:v>0.0293604094626864</x:v>
      </x:c>
      <x:c r="P473" s="66" t="n">
        <x:v>0.0151303807020121</x:v>
      </x:c>
      <x:c r="Q473" s="66" t="n">
        <x:v>4.9251229917164e-8</x:v>
      </x:c>
      <x:c r="R473" s="66" t="str">
        <x:v>C:\Users\admin\.codex\.chatgpt-projects\g-p-6910508be2a081919b9cb5881a96c92b\overnight_refinement_2026-08-27\reports\R102_13k_Mp1p5_Am1p25_Op0p0001_ise_report.json</x:v>
      </x:c>
    </x:row>
    <x:row r="474">
      <x:c r="A474" s="66" t="str">
        <x:v>R103_13k_Mp1p5_Am1_Op0p00001_ise</x:v>
      </x:c>
      <x:c r="B474" s="66" t="str">
        <x:v>13k</x:v>
      </x:c>
      <x:c r="C474" s="66" t="n">
        <x:v>1.5</x:v>
      </x:c>
      <x:c r="D474" s="66" t="n">
        <x:v>-1</x:v>
      </x:c>
      <x:c r="E474" s="66" t="n">
        <x:v>0.00001</x:v>
      </x:c>
      <x:c r="F474" s="66" t="str">
        <x:v>isentropic</x:v>
      </x:c>
      <x:c r="G474" s="66" t="str">
        <x:v>FQRUP</x:v>
      </x:c>
      <x:c r="H474" s="66" t="str">
        <x:v>OK</x:v>
      </x:c>
      <x:c r="I474" s="66" t="n">
        <x:v>1</x:v>
      </x:c>
      <x:c r="J474" s="66" t="n">
        <x:v>0</x:v>
      </x:c>
      <x:c r="K474" s="66" t="n">
        <x:v>24.109</x:v>
      </x:c>
      <x:c r="L474" s="66" t="n">
        <x:v>0.0298989183993733</x:v>
      </x:c>
      <x:c r="M474" s="66" t="n">
        <x:v>-0.000430266564809881</x:v>
      </x:c>
      <x:c r="N474" s="66" t="n">
        <x:v>0.0126610080910238</x:v>
      </x:c>
      <x:c r="O474" s="66" t="n">
        <x:v>0.0296733995901721</x:v>
      </x:c>
      <x:c r="P474" s="66" t="n">
        <x:v>0.0131808878341076</x:v>
      </x:c>
      <x:c r="Q474" s="66" t="n">
        <x:v>4.93469607053487e-9</x:v>
      </x:c>
      <x:c r="R474" s="66" t="str">
        <x:v>C:\Users\admin\.codex\.chatgpt-projects\g-p-6910508be2a081919b9cb5881a96c92b\overnight_refinement_2026-08-27\reports\R103_13k_Mp1p5_Am1_Op0p00001_ise_report.json</x:v>
      </x:c>
    </x:row>
    <x:row r="475">
      <x:c r="A475" s="66" t="str">
        <x:v>R104_13k_Mp1p5_Am1_Op0p0001_ise</x:v>
      </x:c>
      <x:c r="B475" s="66" t="str">
        <x:v>13k</x:v>
      </x:c>
      <x:c r="C475" s="66" t="n">
        <x:v>1.5</x:v>
      </x:c>
      <x:c r="D475" s="66" t="n">
        <x:v>-1</x:v>
      </x:c>
      <x:c r="E475" s="66" t="n">
        <x:v>0.0001</x:v>
      </x:c>
      <x:c r="F475" s="66" t="str">
        <x:v>isentropic</x:v>
      </x:c>
      <x:c r="G475" s="66" t="str">
        <x:v>FQRUP</x:v>
      </x:c>
      <x:c r="H475" s="66" t="str">
        <x:v>OK</x:v>
      </x:c>
      <x:c r="I475" s="66" t="n">
        <x:v>1</x:v>
      </x:c>
      <x:c r="J475" s="66" t="n">
        <x:v>0</x:v>
      </x:c>
      <x:c r="K475" s="66" t="n">
        <x:v>24.172</x:v>
      </x:c>
      <x:c r="L475" s="66" t="n">
        <x:v>0.0298968922979534</x:v>
      </x:c>
      <x:c r="M475" s="66" t="n">
        <x:v>-0.00043025388738551</x:v>
      </x:c>
      <x:c r="N475" s="66" t="n">
        <x:v>0.0126475585971729</x:v>
      </x:c>
      <x:c r="O475" s="66" t="n">
        <x:v>0.0296716085233704</x:v>
      </x:c>
      <x:c r="P475" s="66" t="n">
        <x:v>0.0131674050283343</x:v>
      </x:c>
      <x:c r="Q475" s="66" t="n">
        <x:v>4.97377572759443e-8</x:v>
      </x:c>
      <x:c r="R475" s="66" t="str">
        <x:v>C:\Users\admin\.codex\.chatgpt-projects\g-p-6910508be2a081919b9cb5881a96c92b\overnight_refinement_2026-08-27\reports\R104_13k_Mp1p5_Am1_Op0p0001_ise_report.json</x:v>
      </x:c>
    </x:row>
    <x:row r="476">
      <x:c r="A476" s="66" t="str">
        <x:v>R105_13k_Mp1p5_Am0p75_Op0p00001_ise</x:v>
      </x:c>
      <x:c r="B476" s="66" t="str">
        <x:v>13k</x:v>
      </x:c>
      <x:c r="C476" s="66" t="n">
        <x:v>1.5</x:v>
      </x:c>
      <x:c r="D476" s="66" t="n">
        <x:v>-0.75</x:v>
      </x:c>
      <x:c r="E476" s="66" t="n">
        <x:v>0.00001</x:v>
      </x:c>
      <x:c r="F476" s="66" t="str">
        <x:v>isentropic</x:v>
      </x:c>
      <x:c r="G476" s="66" t="str">
        <x:v>FQRUP</x:v>
      </x:c>
      <x:c r="H476" s="66" t="str">
        <x:v>OK</x:v>
      </x:c>
      <x:c r="I476" s="66" t="n">
        <x:v>1</x:v>
      </x:c>
      <x:c r="J476" s="66" t="n">
        <x:v>0</x:v>
      </x:c>
      <x:c r="K476" s="66" t="n">
        <x:v>24.312</x:v>
      </x:c>
      <x:c r="L476" s="66" t="n">
        <x:v>0.0301067029790253</x:v>
      </x:c>
      <x:c r="M476" s="66" t="n">
        <x:v>-0.000459638503741681</x:v>
      </x:c>
      <x:c r="N476" s="66" t="n">
        <x:v>0.0106594435421702</x:v>
      </x:c>
      <x:c r="O476" s="66" t="n">
        <x:v>0.0299645958597599</x:v>
      </x:c>
      <x:c r="P476" s="66" t="n">
        <x:v>0.0110526148877642</x:v>
      </x:c>
      <x:c r="Q476" s="66" t="n">
        <x:v>4.98718771560213e-9</x:v>
      </x:c>
      <x:c r="R476" s="66" t="str">
        <x:v>C:\Users\admin\.codex\.chatgpt-projects\g-p-6910508be2a081919b9cb5881a96c92b\overnight_refinement_2026-08-27\reports\R105_13k_Mp1p5_Am0p75_Op0p00001_ise_report.json</x:v>
      </x:c>
    </x:row>
    <x:row r="477">
      <x:c r="A477" s="66" t="str">
        <x:v>R106_13k_Mp1p5_Am0p75_Op0p0001_ise</x:v>
      </x:c>
      <x:c r="B477" s="66" t="str">
        <x:v>13k</x:v>
      </x:c>
      <x:c r="C477" s="66" t="n">
        <x:v>1.5</x:v>
      </x:c>
      <x:c r="D477" s="66" t="n">
        <x:v>-0.75</x:v>
      </x:c>
      <x:c r="E477" s="66" t="n">
        <x:v>0.0001</x:v>
      </x:c>
      <x:c r="F477" s="66" t="str">
        <x:v>isentropic</x:v>
      </x:c>
      <x:c r="G477" s="66" t="str">
        <x:v>FQRUP</x:v>
      </x:c>
      <x:c r="H477" s="66" t="str">
        <x:v>OK</x:v>
      </x:c>
      <x:c r="I477" s="66" t="n">
        <x:v>1</x:v>
      </x:c>
      <x:c r="J477" s="66" t="n">
        <x:v>0</x:v>
      </x:c>
      <x:c r="K477" s="66" t="n">
        <x:v>24.391</x:v>
      </x:c>
      <x:c r="L477" s="66" t="n">
        <x:v>0.0301055140311744</x:v>
      </x:c>
      <x:c r="M477" s="66" t="n">
        <x:v>-0.000453648470234982</x:v>
      </x:c>
      <x:c r="N477" s="66" t="n">
        <x:v>0.0106532332461644</x:v>
      </x:c>
      <x:c r="O477" s="66" t="n">
        <x:v>0.0299634883040321</x:v>
      </x:c>
      <x:c r="P477" s="66" t="n">
        <x:v>0.011046389560963</x:v>
      </x:c>
      <x:c r="Q477" s="66" t="n">
        <x:v>5.02671441417761e-8</x:v>
      </x:c>
      <x:c r="R477" s="66" t="str">
        <x:v>C:\Users\admin\.codex\.chatgpt-projects\g-p-6910508be2a081919b9cb5881a96c92b\overnight_refinement_2026-08-27\reports\R106_13k_Mp1p5_Am0p75_Op0p0001_ise_report.json</x:v>
      </x:c>
    </x:row>
    <x:row r="478">
      <x:c r="A478" s="66" t="str">
        <x:v>R107_13k_Mp1p5_Am0p5_Op0p00001_ise</x:v>
      </x:c>
      <x:c r="B478" s="66" t="str">
        <x:v>13k</x:v>
      </x:c>
      <x:c r="C478" s="66" t="n">
        <x:v>1.5</x:v>
      </x:c>
      <x:c r="D478" s="66" t="n">
        <x:v>-0.5</x:v>
      </x:c>
      <x:c r="E478" s="66" t="n">
        <x:v>0.00001</x:v>
      </x:c>
      <x:c r="F478" s="66" t="str">
        <x:v>isentropic</x:v>
      </x:c>
      <x:c r="G478" s="66" t="str">
        <x:v>FQRUP</x:v>
      </x:c>
      <x:c r="H478" s="66" t="str">
        <x:v>OK</x:v>
      </x:c>
      <x:c r="I478" s="66" t="n">
        <x:v>1</x:v>
      </x:c>
      <x:c r="J478" s="66" t="n">
        <x:v>0</x:v>
      </x:c>
      <x:c r="K478" s="66" t="n">
        <x:v>24.422</x:v>
      </x:c>
      <x:c r="L478" s="66" t="n">
        <x:v>0.0302819404250209</x:v>
      </x:c>
      <x:c r="M478" s="66" t="n">
        <x:v>-0.000753466699640735</x:v>
      </x:c>
      <x:c r="N478" s="66" t="n">
        <x:v>0.00827374703954806</x:v>
      </x:c>
      <x:c r="O478" s="66" t="n">
        <x:v>0.0302085862342734</x:v>
      </x:c>
      <x:c r="P478" s="66" t="n">
        <x:v>0.00853768842869156</x:v>
      </x:c>
      <x:c r="Q478" s="66" t="n">
        <x:v>5.04376295411144e-9</x:v>
      </x:c>
      <x:c r="R478" s="66" t="str">
        <x:v>C:\Users\admin\.codex\.chatgpt-projects\g-p-6910508be2a081919b9cb5881a96c92b\overnight_refinement_2026-08-27\reports\R107_13k_Mp1p5_Am0p5_Op0p00001_ise_report.json</x:v>
      </x:c>
    </x:row>
    <x:row r="479">
      <x:c r="A479" s="66" t="str">
        <x:v>R108_13k_Mp1p5_Am0p5_Op0p0001_ise</x:v>
      </x:c>
      <x:c r="B479" s="66" t="str">
        <x:v>13k</x:v>
      </x:c>
      <x:c r="C479" s="66" t="n">
        <x:v>1.5</x:v>
      </x:c>
      <x:c r="D479" s="66" t="n">
        <x:v>-0.5</x:v>
      </x:c>
      <x:c r="E479" s="66" t="n">
        <x:v>0.0001</x:v>
      </x:c>
      <x:c r="F479" s="66" t="str">
        <x:v>isentropic</x:v>
      </x:c>
      <x:c r="G479" s="66" t="str">
        <x:v>FQRUP</x:v>
      </x:c>
      <x:c r="H479" s="66" t="str">
        <x:v>OK</x:v>
      </x:c>
      <x:c r="I479" s="66" t="n">
        <x:v>1</x:v>
      </x:c>
      <x:c r="J479" s="66" t="n">
        <x:v>0</x:v>
      </x:c>
      <x:c r="K479" s="66" t="n">
        <x:v>24.375</x:v>
      </x:c>
      <x:c r="L479" s="66" t="n">
        <x:v>0.0302805406953882</x:v>
      </x:c>
      <x:c r="M479" s="66" t="n">
        <x:v>-0.000747241710413138</x:v>
      </x:c>
      <x:c r="N479" s="66" t="n">
        <x:v>0.00826629490413413</x:v>
      </x:c>
      <x:c r="O479" s="66" t="n">
        <x:v>0.0302072515892623</x:v>
      </x:c>
      <x:c r="P479" s="66" t="n">
        <x:v>0.00853022436224179</x:v>
      </x:c>
      <x:c r="Q479" s="66" t="n">
        <x:v>5.08365664362218e-8</x:v>
      </x:c>
      <x:c r="R479" s="66" t="str">
        <x:v>C:\Users\admin\.codex\.chatgpt-projects\g-p-6910508be2a081919b9cb5881a96c92b\overnight_refinement_2026-08-27\reports\R108_13k_Mp1p5_Am0p5_Op0p0001_ise_report.json</x:v>
      </x:c>
    </x:row>
    <x:row r="480">
      <x:c r="A480" s="66" t="str">
        <x:v>R109_13k_Mp1p5_Ap0p5_Op0p00001_ise</x:v>
      </x:c>
      <x:c r="B480" s="66" t="str">
        <x:v>13k</x:v>
      </x:c>
      <x:c r="C480" s="66" t="n">
        <x:v>1.5</x:v>
      </x:c>
      <x:c r="D480" s="66" t="n">
        <x:v>0.5</x:v>
      </x:c>
      <x:c r="E480" s="66" t="n">
        <x:v>0.00001</x:v>
      </x:c>
      <x:c r="F480" s="66" t="str">
        <x:v>isentropic</x:v>
      </x:c>
      <x:c r="G480" s="66" t="str">
        <x:v>FQRUP</x:v>
      </x:c>
      <x:c r="H480" s="66" t="str">
        <x:v>OK</x:v>
      </x:c>
      <x:c r="I480" s="66" t="n">
        <x:v>1</x:v>
      </x:c>
      <x:c r="J480" s="66" t="n">
        <x:v>0</x:v>
      </x:c>
      <x:c r="K480" s="66" t="n">
        <x:v>24.25</x:v>
      </x:c>
      <x:c r="L480" s="66" t="n">
        <x:v>0.0297251219517129</x:v>
      </x:c>
      <x:c r="M480" s="66" t="n">
        <x:v>-0.000649754495433373</x:v>
      </x:c>
      <x:c r="N480" s="66" t="n">
        <x:v>-0.00274931152044087</x:v>
      </x:c>
      <x:c r="O480" s="66" t="n">
        <x:v>0.0296999981455726</x:v>
      </x:c>
      <x:c r="P480" s="66" t="n">
        <x:v>-0.00300860416698765</x:v>
      </x:c>
      <x:c r="Q480" s="66" t="n">
        <x:v>5.30602812217225e-9</x:v>
      </x:c>
      <x:c r="R480" s="66" t="str">
        <x:v>C:\Users\admin\.codex\.chatgpt-projects\g-p-6910508be2a081919b9cb5881a96c92b\overnight_refinement_2026-08-27\reports\R109_13k_Mp1p5_Ap0p5_Op0p00001_ise_report.json</x:v>
      </x:c>
    </x:row>
    <x:row r="481">
      <x:c r="A481" s="66" t="str">
        <x:v>R110_13k_Mp1p5_Ap0p5_Op0p0001_ise</x:v>
      </x:c>
      <x:c r="B481" s="66" t="str">
        <x:v>13k</x:v>
      </x:c>
      <x:c r="C481" s="66" t="n">
        <x:v>1.5</x:v>
      </x:c>
      <x:c r="D481" s="66" t="n">
        <x:v>0.5</x:v>
      </x:c>
      <x:c r="E481" s="66" t="n">
        <x:v>0.0001</x:v>
      </x:c>
      <x:c r="F481" s="66" t="str">
        <x:v>isentropic</x:v>
      </x:c>
      <x:c r="G481" s="66" t="str">
        <x:v>FQRUP</x:v>
      </x:c>
      <x:c r="H481" s="66" t="str">
        <x:v>OK</x:v>
      </x:c>
      <x:c r="I481" s="66" t="n">
        <x:v>1</x:v>
      </x:c>
      <x:c r="J481" s="66" t="n">
        <x:v>0</x:v>
      </x:c>
      <x:c r="K481" s="66" t="n">
        <x:v>24.015</x:v>
      </x:c>
      <x:c r="L481" s="66" t="n">
        <x:v>0.0297244400537283</x:v>
      </x:c>
      <x:c r="M481" s="66" t="n">
        <x:v>-0.000644253154897954</x:v>
      </x:c>
      <x:c r="N481" s="66" t="n">
        <x:v>-0.00276255739766402</x:v>
      </x:c>
      <x:c r="O481" s="66" t="n">
        <x:v>0.0296992006829348</x:v>
      </x:c>
      <x:c r="P481" s="66" t="n">
        <x:v>-0.00302184358924141</x:v>
      </x:c>
      <x:c r="Q481" s="66" t="n">
        <x:v>5.34718126321301e-8</x:v>
      </x:c>
      <x:c r="R481" s="66" t="str">
        <x:v>C:\Users\admin\.codex\.chatgpt-projects\g-p-6910508be2a081919b9cb5881a96c92b\overnight_refinement_2026-08-27\reports\R110_13k_Mp1p5_Ap0p5_Op0p0001_ise_report.json</x:v>
      </x:c>
    </x:row>
    <x:row r="482">
      <x:c r="A482" s="66" t="str">
        <x:v>R111_13k_Mp1p5_Ap1_Op0p00001_ise</x:v>
      </x:c>
      <x:c r="B482" s="66" t="str">
        <x:v>13k</x:v>
      </x:c>
      <x:c r="C482" s="66" t="n">
        <x:v>1.5</x:v>
      </x:c>
      <x:c r="D482" s="66" t="n">
        <x:v>1</x:v>
      </x:c>
      <x:c r="E482" s="66" t="n">
        <x:v>0.00001</x:v>
      </x:c>
      <x:c r="F482" s="66" t="str">
        <x:v>isentropic</x:v>
      </x:c>
      <x:c r="G482" s="66" t="str">
        <x:v>FQRUP</x:v>
      </x:c>
      <x:c r="H482" s="66" t="str">
        <x:v>OK</x:v>
      </x:c>
      <x:c r="I482" s="66" t="n">
        <x:v>1</x:v>
      </x:c>
      <x:c r="J482" s="66" t="n">
        <x:v>0</x:v>
      </x:c>
      <x:c r="K482" s="66" t="n">
        <x:v>23.844</x:v>
      </x:c>
      <x:c r="L482" s="66" t="n">
        <x:v>0.0299380306817406</x:v>
      </x:c>
      <x:c r="M482" s="66" t="n">
        <x:v>-0.000931269081055364</x:v>
      </x:c>
      <x:c r="N482" s="66" t="n">
        <x:v>-0.00841133162862389</x:v>
      </x:c>
      <x:c r="O482" s="66" t="n">
        <x:v>0.0297866729963981</x:v>
      </x:c>
      <x:c r="P482" s="66" t="n">
        <x:v>-0.00893254122146525</x:v>
      </x:c>
      <x:c r="Q482" s="66" t="n">
        <x:v>5.4565280579057e-9</x:v>
      </x:c>
      <x:c r="R482" s="66" t="str">
        <x:v>C:\Users\admin\.codex\.chatgpt-projects\g-p-6910508be2a081919b9cb5881a96c92b\overnight_refinement_2026-08-27\reports\R111_13k_Mp1p5_Ap1_Op0p00001_ise_report.json</x:v>
      </x:c>
    </x:row>
    <x:row r="483">
      <x:c r="A483" s="66" t="str">
        <x:v>R112_13k_Mp1p5_Ap1_Op0p0001_ise</x:v>
      </x:c>
      <x:c r="B483" s="66" t="str">
        <x:v>13k</x:v>
      </x:c>
      <x:c r="C483" s="66" t="n">
        <x:v>1.5</x:v>
      </x:c>
      <x:c r="D483" s="66" t="n">
        <x:v>1</x:v>
      </x:c>
      <x:c r="E483" s="66" t="n">
        <x:v>0.0001</x:v>
      </x:c>
      <x:c r="F483" s="66" t="str">
        <x:v>isentropic</x:v>
      </x:c>
      <x:c r="G483" s="66" t="str">
        <x:v>FQRUP</x:v>
      </x:c>
      <x:c r="H483" s="66" t="str">
        <x:v>OK</x:v>
      </x:c>
      <x:c r="I483" s="66" t="n">
        <x:v>1</x:v>
      </x:c>
      <x:c r="J483" s="66" t="n">
        <x:v>0</x:v>
      </x:c>
      <x:c r="K483" s="66" t="n">
        <x:v>23.875</x:v>
      </x:c>
      <x:c r="L483" s="66" t="n">
        <x:v>0.0299393948149272</x:v>
      </x:c>
      <x:c r="M483" s="66" t="n">
        <x:v>-0.000925690889052419</x:v>
      </x:c>
      <x:c r="N483" s="66" t="n">
        <x:v>-0.00842287953781486</x:v>
      </x:c>
      <x:c r="O483" s="66" t="n">
        <x:v>0.0297878353830159</x:v>
      </x:c>
      <x:c r="P483" s="66" t="n">
        <x:v>-0.00894411117926053</x:v>
      </x:c>
      <x:c r="Q483" s="66" t="n">
        <x:v>5.49740150837052e-8</x:v>
      </x:c>
      <x:c r="R483" s="66" t="str">
        <x:v>C:\Users\admin\.codex\.chatgpt-projects\g-p-6910508be2a081919b9cb5881a96c92b\overnight_refinement_2026-08-27\reports\R112_13k_Mp1p5_Ap1_Op0p0001_ise_report.json</x:v>
      </x:c>
    </x:row>
    <x:row r="484">
      <x:c r="A484" s="66" t="str">
        <x:v>R113_13k_Mp1p5_Ap1p5_Op0p00001_ise</x:v>
      </x:c>
      <x:c r="B484" s="66" t="str">
        <x:v>13k</x:v>
      </x:c>
      <x:c r="C484" s="66" t="n">
        <x:v>1.5</x:v>
      </x:c>
      <x:c r="D484" s="66" t="n">
        <x:v>1.5</x:v>
      </x:c>
      <x:c r="E484" s="66" t="n">
        <x:v>0.00001</x:v>
      </x:c>
      <x:c r="F484" s="66" t="str">
        <x:v>isentropic</x:v>
      </x:c>
      <x:c r="G484" s="66" t="str">
        <x:v>FQRUP</x:v>
      </x:c>
      <x:c r="H484" s="66" t="str">
        <x:v>OK</x:v>
      </x:c>
      <x:c r="I484" s="66" t="n">
        <x:v>1</x:v>
      </x:c>
      <x:c r="J484" s="66" t="n">
        <x:v>0</x:v>
      </x:c>
      <x:c r="K484" s="66" t="n">
        <x:v>23.985</x:v>
      </x:c>
      <x:c r="L484" s="66" t="n">
        <x:v>0.0291192673626102</x:v>
      </x:c>
      <x:c r="M484" s="66" t="n">
        <x:v>-0.00096365663569477</x:v>
      </x:c>
      <x:c r="N484" s="66" t="n">
        <x:v>-0.0113804410030829</x:v>
      </x:c>
      <x:c r="O484" s="66" t="n">
        <x:v>0.0288113837010965</x:v>
      </x:c>
      <x:c r="P484" s="66" t="n">
        <x:v>-0.0121387947666982</x:v>
      </x:c>
      <x:c r="Q484" s="66" t="n">
        <x:v>5.61721389306795e-9</x:v>
      </x:c>
      <x:c r="R484" s="66" t="str">
        <x:v>C:\Users\admin\.codex\.chatgpt-projects\g-p-6910508be2a081919b9cb5881a96c92b\overnight_refinement_2026-08-27\reports\R113_13k_Mp1p5_Ap1p5_Op0p00001_ise_report.json</x:v>
      </x:c>
    </x:row>
    <x:row r="485">
      <x:c r="A485" s="66" t="str">
        <x:v>R114_13k_Mp1p5_Ap1p5_Op0p0001_ise</x:v>
      </x:c>
      <x:c r="B485" s="66" t="str">
        <x:v>13k</x:v>
      </x:c>
      <x:c r="C485" s="66" t="n">
        <x:v>1.5</x:v>
      </x:c>
      <x:c r="D485" s="66" t="n">
        <x:v>1.5</x:v>
      </x:c>
      <x:c r="E485" s="66" t="n">
        <x:v>0.0001</x:v>
      </x:c>
      <x:c r="F485" s="66" t="str">
        <x:v>isentropic</x:v>
      </x:c>
      <x:c r="G485" s="66" t="str">
        <x:v>FQRUP</x:v>
      </x:c>
      <x:c r="H485" s="66" t="str">
        <x:v>OK</x:v>
      </x:c>
      <x:c r="I485" s="66" t="n">
        <x:v>1</x:v>
      </x:c>
      <x:c r="J485" s="66" t="n">
        <x:v>0</x:v>
      </x:c>
      <x:c r="K485" s="66" t="n">
        <x:v>24.141</x:v>
      </x:c>
      <x:c r="L485" s="66" t="n">
        <x:v>0.0291172687522567</x:v>
      </x:c>
      <x:c r="M485" s="66" t="n">
        <x:v>-0.00096643661252178</x:v>
      </x:c>
      <x:c r="N485" s="66" t="n">
        <x:v>-0.0113888056798516</x:v>
      </x:c>
      <x:c r="O485" s="66" t="n">
        <x:v>0.0288091668139054</x:v>
      </x:c>
      <x:c r="P485" s="66" t="n">
        <x:v>-0.0121471042595812</x:v>
      </x:c>
      <x:c r="Q485" s="66" t="n">
        <x:v>5.65796284182485e-8</x:v>
      </x:c>
      <x:c r="R485" s="66" t="str">
        <x:v>C:\Users\admin\.codex\.chatgpt-projects\g-p-6910508be2a081919b9cb5881a96c92b\overnight_refinement_2026-08-27\reports\R114_13k_Mp1p5_Ap1p5_Op0p0001_ise_report.json</x:v>
      </x:c>
    </x:row>
    <x:row r="486">
      <x:c r="A486" s="66" t="str">
        <x:v>R115_13k_Mp1p55_Am1p5_Op0p00001_ise</x:v>
      </x:c>
      <x:c r="B486" s="66" t="str">
        <x:v>13k</x:v>
      </x:c>
      <x:c r="C486" s="66" t="n">
        <x:v>1.55</x:v>
      </x:c>
      <x:c r="D486" s="66" t="n">
        <x:v>-1.5</x:v>
      </x:c>
      <x:c r="E486" s="66" t="n">
        <x:v>0.00001</x:v>
      </x:c>
      <x:c r="F486" s="66" t="str">
        <x:v>isentropic</x:v>
      </x:c>
      <x:c r="G486" s="66" t="str">
        <x:v>FQRUP</x:v>
      </x:c>
      <x:c r="H486" s="66" t="str">
        <x:v>OK</x:v>
      </x:c>
      <x:c r="I486" s="66" t="n">
        <x:v>1</x:v>
      </x:c>
      <x:c r="J486" s="66" t="n">
        <x:v>0</x:v>
      </x:c>
      <x:c r="K486" s="66" t="n">
        <x:v>22.953</x:v>
      </x:c>
      <x:c r="L486" s="66" t="n">
        <x:v>0.0274128621098668</x:v>
      </x:c>
      <x:c r="M486" s="66" t="n">
        <x:v>-0.00164813407403188</x:v>
      </x:c>
      <x:c r="N486" s="66" t="n">
        <x:v>0.0207179596102194</x:v>
      </x:c>
      <x:c r="O486" s="66" t="n">
        <x:v>0.0268611354489119</x:v>
      </x:c>
      <x:c r="P486" s="66" t="n">
        <x:v>0.0214284451573244</x:v>
      </x:c>
      <x:c r="Q486" s="66" t="n">
        <x:v>4.23967428057058e-9</x:v>
      </x:c>
      <x:c r="R486" s="66" t="str">
        <x:v>C:\Users\admin\.codex\.chatgpt-projects\g-p-6910508be2a081919b9cb5881a96c92b\overnight_refinement_2026-08-27\reports\R115_13k_Mp1p55_Am1p5_Op0p00001_ise_report.json</x:v>
      </x:c>
    </x:row>
    <x:row r="487">
      <x:c r="A487" s="66" t="str">
        <x:v>R116_13k_Mp1p55_Am1p5_Op0p0001_ise</x:v>
      </x:c>
      <x:c r="B487" s="66" t="str">
        <x:v>13k</x:v>
      </x:c>
      <x:c r="C487" s="66" t="n">
        <x:v>1.55</x:v>
      </x:c>
      <x:c r="D487" s="66" t="n">
        <x:v>-1.5</x:v>
      </x:c>
      <x:c r="E487" s="66" t="n">
        <x:v>0.0001</x:v>
      </x:c>
      <x:c r="F487" s="66" t="str">
        <x:v>isentropic</x:v>
      </x:c>
      <x:c r="G487" s="66" t="str">
        <x:v>FQRUP</x:v>
      </x:c>
      <x:c r="H487" s="66" t="str">
        <x:v>OK</x:v>
      </x:c>
      <x:c r="I487" s="66" t="n">
        <x:v>1</x:v>
      </x:c>
      <x:c r="J487" s="66" t="n">
        <x:v>0</x:v>
      </x:c>
      <x:c r="K487" s="66" t="n">
        <x:v>22.969</x:v>
      </x:c>
      <x:c r="L487" s="66" t="n">
        <x:v>0.027415662217676</x:v>
      </x:c>
      <x:c r="M487" s="66" t="n">
        <x:v>-0.00165359079645412</x:v>
      </x:c>
      <x:c r="N487" s="66" t="n">
        <x:v>0.0207212367246991</x:v>
      </x:c>
      <x:c r="O487" s="66" t="n">
        <x:v>0.0268638488123378</x:v>
      </x:c>
      <x:c r="P487" s="66" t="n">
        <x:v>0.0214317944470962</x:v>
      </x:c>
      <x:c r="Q487" s="66" t="n">
        <x:v>4.27879156300936e-8</x:v>
      </x:c>
      <x:c r="R487" s="66" t="str">
        <x:v>C:\Users\admin\.codex\.chatgpt-projects\g-p-6910508be2a081919b9cb5881a96c92b\overnight_refinement_2026-08-27\reports\R116_13k_Mp1p55_Am1p5_Op0p0001_ise_report.json</x:v>
      </x:c>
    </x:row>
    <x:row r="488">
      <x:c r="A488" s="66" t="str">
        <x:v>R117_13k_Mp1p55_Am1p25_Op0p00001_ise</x:v>
      </x:c>
      <x:c r="B488" s="66" t="str">
        <x:v>13k</x:v>
      </x:c>
      <x:c r="C488" s="66" t="n">
        <x:v>1.55</x:v>
      </x:c>
      <x:c r="D488" s="66" t="n">
        <x:v>-1.25</x:v>
      </x:c>
      <x:c r="E488" s="66" t="n">
        <x:v>0.00001</x:v>
      </x:c>
      <x:c r="F488" s="66" t="str">
        <x:v>isentropic</x:v>
      </x:c>
      <x:c r="G488" s="66" t="str">
        <x:v>FQRUP</x:v>
      </x:c>
      <x:c r="H488" s="66" t="str">
        <x:v>OK</x:v>
      </x:c>
      <x:c r="I488" s="66" t="n">
        <x:v>1</x:v>
      </x:c>
      <x:c r="J488" s="66" t="n">
        <x:v>0</x:v>
      </x:c>
      <x:c r="K488" s="66" t="n">
        <x:v>22.969</x:v>
      </x:c>
      <x:c r="L488" s="66" t="n">
        <x:v>0.0277368937748354</x:v>
      </x:c>
      <x:c r="M488" s="66" t="n">
        <x:v>-0.00137181508674351</x:v>
      </x:c>
      <x:c r="N488" s="66" t="n">
        <x:v>0.0191867576478127</x:v>
      </x:c>
      <x:c r="O488" s="66" t="n">
        <x:v>0.0273117362329565</x:v>
      </x:c>
      <x:c r="P488" s="66" t="n">
        <x:v>0.019787268867982</x:v>
      </x:c>
      <x:c r="Q488" s="66" t="n">
        <x:v>4.26420994206667e-9</x:v>
      </x:c>
      <x:c r="R488" s="66" t="str">
        <x:v>C:\Users\admin\.codex\.chatgpt-projects\g-p-6910508be2a081919b9cb5881a96c92b\overnight_refinement_2026-08-27\reports\R117_13k_Mp1p55_Am1p25_Op0p00001_ise_report.json</x:v>
      </x:c>
    </x:row>
    <x:row r="489">
      <x:c r="A489" s="66" t="str">
        <x:v>R118_13k_Mp1p55_Am1p25_Op0p0001_ise</x:v>
      </x:c>
      <x:c r="B489" s="66" t="str">
        <x:v>13k</x:v>
      </x:c>
      <x:c r="C489" s="66" t="n">
        <x:v>1.55</x:v>
      </x:c>
      <x:c r="D489" s="66" t="n">
        <x:v>-1.25</x:v>
      </x:c>
      <x:c r="E489" s="66" t="n">
        <x:v>0.0001</x:v>
      </x:c>
      <x:c r="F489" s="66" t="str">
        <x:v>isentropic</x:v>
      </x:c>
      <x:c r="G489" s="66" t="str">
        <x:v>FQRUP</x:v>
      </x:c>
      <x:c r="H489" s="66" t="str">
        <x:v>OK</x:v>
      </x:c>
      <x:c r="I489" s="66" t="n">
        <x:v>1</x:v>
      </x:c>
      <x:c r="J489" s="66" t="n">
        <x:v>0</x:v>
      </x:c>
      <x:c r="K489" s="66" t="n">
        <x:v>23.078</x:v>
      </x:c>
      <x:c r="L489" s="66" t="n">
        <x:v>0.0277393310602265</x:v>
      </x:c>
      <x:c r="M489" s="66" t="n">
        <x:v>-0.0013767998318586</x:v>
      </x:c>
      <x:c r="N489" s="66" t="n">
        <x:v>0.0191925776570498</x:v>
      </x:c>
      <x:c r="O489" s="66" t="n">
        <x:v>0.0273140459755073</x:v>
      </x:c>
      <x:c r="P489" s="66" t="n">
        <x:v>0.0197931406613152</x:v>
      </x:c>
      <x:c r="Q489" s="66" t="n">
        <x:v>4.30457833349871e-8</x:v>
      </x:c>
      <x:c r="R489" s="66" t="str">
        <x:v>C:\Users\admin\.codex\.chatgpt-projects\g-p-6910508be2a081919b9cb5881a96c92b\overnight_refinement_2026-08-27\reports\R118_13k_Mp1p55_Am1p25_Op0p0001_ise_report.json</x:v>
      </x:c>
    </x:row>
    <x:row r="490">
      <x:c r="A490" s="66" t="str">
        <x:v>R119_13k_Mp1p55_Am1_Op0p00001_ise</x:v>
      </x:c>
      <x:c r="B490" s="66" t="str">
        <x:v>13k</x:v>
      </x:c>
      <x:c r="C490" s="66" t="n">
        <x:v>1.55</x:v>
      </x:c>
      <x:c r="D490" s="66" t="n">
        <x:v>-1</x:v>
      </x:c>
      <x:c r="E490" s="66" t="n">
        <x:v>0.00001</x:v>
      </x:c>
      <x:c r="F490" s="66" t="str">
        <x:v>isentropic</x:v>
      </x:c>
      <x:c r="G490" s="66" t="str">
        <x:v>FQRUP</x:v>
      </x:c>
      <x:c r="H490" s="66" t="str">
        <x:v>OK</x:v>
      </x:c>
      <x:c r="I490" s="66" t="n">
        <x:v>1</x:v>
      </x:c>
      <x:c r="J490" s="66" t="n">
        <x:v>0</x:v>
      </x:c>
      <x:c r="K490" s="66" t="n">
        <x:v>22.719</x:v>
      </x:c>
      <x:c r="L490" s="66" t="n">
        <x:v>0.0279375208925919</x:v>
      </x:c>
      <x:c r="M490" s="66" t="n">
        <x:v>-0.00116875146340482</x:v>
      </x:c>
      <x:c r="N490" s="66" t="n">
        <x:v>0.0172302065967765</x:v>
      </x:c>
      <x:c r="O490" s="66" t="n">
        <x:v>0.0276325573043162</x:v>
      </x:c>
      <x:c r="P490" s="66" t="n">
        <x:v>0.017715159322323</x:v>
      </x:c>
      <x:c r="Q490" s="66" t="n">
        <x:v>4.29603906458238e-9</x:v>
      </x:c>
      <x:c r="R490" s="66" t="str">
        <x:v>C:\Users\admin\.codex\.chatgpt-projects\g-p-6910508be2a081919b9cb5881a96c92b\overnight_refinement_2026-08-27\reports\R119_13k_Mp1p55_Am1_Op0p00001_ise_report.json</x:v>
      </x:c>
    </x:row>
    <x:row r="491">
      <x:c r="A491" s="66" t="str">
        <x:v>R120_13k_Mp1p55_Am1_Op0p0001_ise</x:v>
      </x:c>
      <x:c r="B491" s="66" t="str">
        <x:v>13k</x:v>
      </x:c>
      <x:c r="C491" s="66" t="n">
        <x:v>1.55</x:v>
      </x:c>
      <x:c r="D491" s="66" t="n">
        <x:v>-1</x:v>
      </x:c>
      <x:c r="E491" s="66" t="n">
        <x:v>0.0001</x:v>
      </x:c>
      <x:c r="F491" s="66" t="str">
        <x:v>isentropic</x:v>
      </x:c>
      <x:c r="G491" s="66" t="str">
        <x:v>FQRUP</x:v>
      </x:c>
      <x:c r="H491" s="66" t="str">
        <x:v>OK</x:v>
      </x:c>
      <x:c r="I491" s="66" t="n">
        <x:v>1</x:v>
      </x:c>
      <x:c r="J491" s="66" t="n">
        <x:v>0</x:v>
      </x:c>
      <x:c r="K491" s="66" t="n">
        <x:v>22.859</x:v>
      </x:c>
      <x:c r="L491" s="66" t="n">
        <x:v>0.0279396063519607</x:v>
      </x:c>
      <x:c r="M491" s="66" t="n">
        <x:v>-0.00117337186038799</x:v>
      </x:c>
      <x:c r="N491" s="66" t="n">
        <x:v>0.0172345389895117</x:v>
      </x:c>
      <x:c r="O491" s="66" t="n">
        <x:v>0.0276345668353806</x:v>
      </x:c>
      <x:c r="P491" s="66" t="n">
        <x:v>0.0177195274514984</x:v>
      </x:c>
      <x:c r="Q491" s="66" t="n">
        <x:v>4.33755124476742e-8</x:v>
      </x:c>
      <x:c r="R491" s="66" t="str">
        <x:v>C:\Users\admin\.codex\.chatgpt-projects\g-p-6910508be2a081919b9cb5881a96c92b\overnight_refinement_2026-08-27\reports\R120_13k_Mp1p55_Am1_Op0p0001_ise_report.json</x:v>
      </x:c>
    </x:row>
    <x:row r="492">
      <x:c r="A492" s="66" t="str">
        <x:v>R121_13k_Mp1p55_Am0p75_Op0p00001_ise</x:v>
      </x:c>
      <x:c r="B492" s="66" t="str">
        <x:v>13k</x:v>
      </x:c>
      <x:c r="C492" s="66" t="n">
        <x:v>1.55</x:v>
      </x:c>
      <x:c r="D492" s="66" t="n">
        <x:v>-0.75</x:v>
      </x:c>
      <x:c r="E492" s="66" t="n">
        <x:v>0.00001</x:v>
      </x:c>
      <x:c r="F492" s="66" t="str">
        <x:v>isentropic</x:v>
      </x:c>
      <x:c r="G492" s="66" t="str">
        <x:v>FQRUP</x:v>
      </x:c>
      <x:c r="H492" s="66" t="str">
        <x:v>OK</x:v>
      </x:c>
      <x:c r="I492" s="66" t="n">
        <x:v>1</x:v>
      </x:c>
      <x:c r="J492" s="66" t="n">
        <x:v>0</x:v>
      </x:c>
      <x:c r="K492" s="66" t="n">
        <x:v>23.14</x:v>
      </x:c>
      <x:c r="L492" s="66" t="n">
        <x:v>0.0279835269186892</x:v>
      </x:c>
      <x:c r="M492" s="66" t="n">
        <x:v>-0.00114838899096311</x:v>
      </x:c>
      <x:c r="N492" s="66" t="n">
        <x:v>0.0152783616267925</x:v>
      </x:c>
      <x:c r="O492" s="66" t="n">
        <x:v>0.0277811419273628</x:v>
      </x:c>
      <x:c r="P492" s="66" t="n">
        <x:v>0.0156433457425122</x:v>
      </x:c>
      <x:c r="Q492" s="66" t="n">
        <x:v>4.33347807665357e-9</x:v>
      </x:c>
      <x:c r="R492" s="66" t="str">
        <x:v>C:\Users\admin\.codex\.chatgpt-projects\g-p-6910508be2a081919b9cb5881a96c92b\overnight_refinement_2026-08-27\reports\R121_13k_Mp1p55_Am0p75_Op0p00001_ise_report.json</x:v>
      </x:c>
    </x:row>
    <x:row r="493">
      <x:c r="A493" s="66" t="str">
        <x:v>R122_13k_Mp1p55_Am0p75_Op0p0001_ise</x:v>
      </x:c>
      <x:c r="B493" s="66" t="str">
        <x:v>13k</x:v>
      </x:c>
      <x:c r="C493" s="66" t="n">
        <x:v>1.55</x:v>
      </x:c>
      <x:c r="D493" s="66" t="n">
        <x:v>-0.75</x:v>
      </x:c>
      <x:c r="E493" s="66" t="n">
        <x:v>0.0001</x:v>
      </x:c>
      <x:c r="F493" s="66" t="str">
        <x:v>isentropic</x:v>
      </x:c>
      <x:c r="G493" s="66" t="str">
        <x:v>FQRUP</x:v>
      </x:c>
      <x:c r="H493" s="66" t="str">
        <x:v>OK</x:v>
      </x:c>
      <x:c r="I493" s="66" t="n">
        <x:v>1</x:v>
      </x:c>
      <x:c r="J493" s="66" t="n">
        <x:v>0</x:v>
      </x:c>
      <x:c r="K493" s="66" t="n">
        <x:v>23.391</x:v>
      </x:c>
      <x:c r="L493" s="66" t="n">
        <x:v>0.027984486279811</x:v>
      </x:c>
      <x:c r="M493" s="66" t="n">
        <x:v>-0.00115211323307529</x:v>
      </x:c>
      <x:c r="N493" s="66" t="n">
        <x:v>0.0152811756568084</x:v>
      </x:c>
      <x:c r="O493" s="66" t="n">
        <x:v>0.0277820643717789</x:v>
      </x:c>
      <x:c r="P493" s="66" t="n">
        <x:v>0.0156461720890924</x:v>
      </x:c>
      <x:c r="Q493" s="66" t="n">
        <x:v>4.37594370373559e-8</x:v>
      </x:c>
      <x:c r="R493" s="66" t="str">
        <x:v>C:\Users\admin\.codex\.chatgpt-projects\g-p-6910508be2a081919b9cb5881a96c92b\overnight_refinement_2026-08-27\reports\R122_13k_Mp1p55_Am0p75_Op0p0001_ise_report.json</x:v>
      </x:c>
    </x:row>
    <x:row r="494">
      <x:c r="A494" s="66" t="str">
        <x:v>R123_13k_Mp1p55_Am0p5_Op0p00001_ise</x:v>
      </x:c>
      <x:c r="B494" s="66" t="str">
        <x:v>13k</x:v>
      </x:c>
      <x:c r="C494" s="66" t="n">
        <x:v>1.55</x:v>
      </x:c>
      <x:c r="D494" s="66" t="n">
        <x:v>-0.5</x:v>
      </x:c>
      <x:c r="E494" s="66" t="n">
        <x:v>0.00001</x:v>
      </x:c>
      <x:c r="F494" s="66" t="str">
        <x:v>isentropic</x:v>
      </x:c>
      <x:c r="G494" s="66" t="str">
        <x:v>FQRUP</x:v>
      </x:c>
      <x:c r="H494" s="66" t="str">
        <x:v>OK</x:v>
      </x:c>
      <x:c r="I494" s="66" t="n">
        <x:v>1</x:v>
      </x:c>
      <x:c r="J494" s="66" t="n">
        <x:v>0</x:v>
      </x:c>
      <x:c r="K494" s="66" t="n">
        <x:v>23.281</x:v>
      </x:c>
      <x:c r="L494" s="66" t="n">
        <x:v>0.0278783119804214</x:v>
      </x:c>
      <x:c r="M494" s="66" t="n">
        <x:v>-0.00128810639849883</x:v>
      </x:c>
      <x:c r="N494" s="66" t="n">
        <x:v>0.0130902030343402</x:v>
      </x:c>
      <x:c r="O494" s="66" t="n">
        <x:v>0.027763018338265</x:v>
      </x:c>
      <x:c r="P494" s="66" t="n">
        <x:v>0.0133329856786512</x:v>
      </x:c>
      <x:c r="Q494" s="66" t="n">
        <x:v>4.37841741590323e-9</x:v>
      </x:c>
      <x:c r="R494" s="66" t="str">
        <x:v>C:\Users\admin\.codex\.chatgpt-projects\g-p-6910508be2a081919b9cb5881a96c92b\overnight_refinement_2026-08-27\reports\R123_13k_Mp1p55_Am0p5_Op0p00001_ise_report.json</x:v>
      </x:c>
    </x:row>
    <x:row r="495">
      <x:c r="A495" s="66" t="str">
        <x:v>R124_13k_Mp1p55_Am0p5_Op0p0001_ise</x:v>
      </x:c>
      <x:c r="B495" s="66" t="str">
        <x:v>13k</x:v>
      </x:c>
      <x:c r="C495" s="66" t="n">
        <x:v>1.55</x:v>
      </x:c>
      <x:c r="D495" s="66" t="n">
        <x:v>-0.5</x:v>
      </x:c>
      <x:c r="E495" s="66" t="n">
        <x:v>0.0001</x:v>
      </x:c>
      <x:c r="F495" s="66" t="str">
        <x:v>isentropic</x:v>
      </x:c>
      <x:c r="G495" s="66" t="str">
        <x:v>FQRUP</x:v>
      </x:c>
      <x:c r="H495" s="66" t="str">
        <x:v>OK</x:v>
      </x:c>
      <x:c r="I495" s="66" t="n">
        <x:v>1</x:v>
      </x:c>
      <x:c r="J495" s="66" t="n">
        <x:v>0</x:v>
      </x:c>
      <x:c r="K495" s="66" t="n">
        <x:v>23.234</x:v>
      </x:c>
      <x:c r="L495" s="66" t="n">
        <x:v>0.027878309997048</x:v>
      </x:c>
      <x:c r="M495" s="66" t="n">
        <x:v>-0.00128956124346498</x:v>
      </x:c>
      <x:c r="N495" s="66" t="n">
        <x:v>0.013095671987929</x:v>
      </x:c>
      <x:c r="O495" s="66" t="n">
        <x:v>0.0277629686299495</x:v>
      </x:c>
      <x:c r="P495" s="66" t="n">
        <x:v>0.013338454406691</x:v>
      </x:c>
      <x:c r="Q495" s="66" t="n">
        <x:v>4.4217961788265e-8</x:v>
      </x:c>
      <x:c r="R495" s="66" t="str">
        <x:v>C:\Users\admin\.codex\.chatgpt-projects\g-p-6910508be2a081919b9cb5881a96c92b\overnight_refinement_2026-08-27\reports\R124_13k_Mp1p55_Am0p5_Op0p0001_ise_report.json</x:v>
      </x:c>
    </x:row>
    <x:row r="496">
      <x:c r="A496" s="66" t="str">
        <x:v>R125_13k_Mp1p55_Am0p25_Op0p00001_ise</x:v>
      </x:c>
      <x:c r="B496" s="66" t="str">
        <x:v>13k</x:v>
      </x:c>
      <x:c r="C496" s="66" t="n">
        <x:v>1.55</x:v>
      </x:c>
      <x:c r="D496" s="66" t="n">
        <x:v>-0.25</x:v>
      </x:c>
      <x:c r="E496" s="66" t="n">
        <x:v>0.00001</x:v>
      </x:c>
      <x:c r="F496" s="66" t="str">
        <x:v>isentropic</x:v>
      </x:c>
      <x:c r="G496" s="66" t="str">
        <x:v>FQRUP</x:v>
      </x:c>
      <x:c r="H496" s="66" t="str">
        <x:v>OK</x:v>
      </x:c>
      <x:c r="I496" s="66" t="n">
        <x:v>1</x:v>
      </x:c>
      <x:c r="J496" s="66" t="n">
        <x:v>0</x:v>
      </x:c>
      <x:c r="K496" s="66" t="n">
        <x:v>22.906</x:v>
      </x:c>
      <x:c r="L496" s="66" t="n">
        <x:v>0.0276950631512694</x:v>
      </x:c>
      <x:c r="M496" s="66" t="n">
        <x:v>-0.0015732978746736</x:v>
      </x:c>
      <x:c r="N496" s="66" t="n">
        <x:v>0.0109150615425237</x:v>
      </x:c>
      <x:c r="O496" s="66" t="n">
        <x:v>0.0276471737248569</x:v>
      </x:c>
      <x:c r="P496" s="66" t="n">
        <x:v>0.0110357997651943</x:v>
      </x:c>
      <x:c r="Q496" s="66" t="n">
        <x:v>4.42914733141924e-9</x:v>
      </x:c>
      <x:c r="R496" s="66" t="str">
        <x:v>C:\Users\admin\.codex\.chatgpt-projects\g-p-6910508be2a081919b9cb5881a96c92b\overnight_refinement_2026-08-27\reports\R125_13k_Mp1p55_Am0p25_Op0p00001_ise_report.json</x:v>
      </x:c>
    </x:row>
    <x:row r="497">
      <x:c r="A497" s="66" t="str">
        <x:v>R126_13k_Mp1p55_Am0p25_Op0p0001_ise</x:v>
      </x:c>
      <x:c r="B497" s="66" t="str">
        <x:v>13k</x:v>
      </x:c>
      <x:c r="C497" s="66" t="n">
        <x:v>1.55</x:v>
      </x:c>
      <x:c r="D497" s="66" t="n">
        <x:v>-0.25</x:v>
      </x:c>
      <x:c r="E497" s="66" t="n">
        <x:v>0.0001</x:v>
      </x:c>
      <x:c r="F497" s="66" t="str">
        <x:v>isentropic</x:v>
      </x:c>
      <x:c r="G497" s="66" t="str">
        <x:v>FQRUP</x:v>
      </x:c>
      <x:c r="H497" s="66" t="str">
        <x:v>OK</x:v>
      </x:c>
      <x:c r="I497" s="66" t="n">
        <x:v>1</x:v>
      </x:c>
      <x:c r="J497" s="66" t="n">
        <x:v>0</x:v>
      </x:c>
      <x:c r="K497" s="66" t="n">
        <x:v>23.062</x:v>
      </x:c>
      <x:c r="L497" s="66" t="n">
        <x:v>0.0276942849408696</x:v>
      </x:c>
      <x:c r="M497" s="66" t="n">
        <x:v>-0.00157422211909308</x:v>
      </x:c>
      <x:c r="N497" s="66" t="n">
        <x:v>0.0109131601585624</x:v>
      </x:c>
      <x:c r="O497" s="66" t="n">
        <x:v>0.0276464038181914</x:v>
      </x:c>
      <x:c r="P497" s="66" t="n">
        <x:v>0.0110338950037601</x:v>
      </x:c>
      <x:c r="Q497" s="66" t="n">
        <x:v>4.47333320273224e-8</x:v>
      </x:c>
      <x:c r="R497" s="66" t="str">
        <x:v>C:\Users\admin\.codex\.chatgpt-projects\g-p-6910508be2a081919b9cb5881a96c92b\overnight_refinement_2026-08-27\reports\R126_13k_Mp1p55_Am0p25_Op0p0001_ise_report.json</x:v>
      </x:c>
    </x:row>
    <x:row r="498">
      <x:c r="A498" s="66" t="str">
        <x:v>R127_13k_Mp1p55_Ap0p25_Op0p00001_ise</x:v>
      </x:c>
      <x:c r="B498" s="66" t="str">
        <x:v>13k</x:v>
      </x:c>
      <x:c r="C498" s="66" t="n">
        <x:v>1.55</x:v>
      </x:c>
      <x:c r="D498" s="66" t="n">
        <x:v>0.25</x:v>
      </x:c>
      <x:c r="E498" s="66" t="n">
        <x:v>0.00001</x:v>
      </x:c>
      <x:c r="F498" s="66" t="str">
        <x:v>isentropic</x:v>
      </x:c>
      <x:c r="G498" s="66" t="str">
        <x:v>FQRUP</x:v>
      </x:c>
      <x:c r="H498" s="66" t="str">
        <x:v>OK</x:v>
      </x:c>
      <x:c r="I498" s="66" t="n">
        <x:v>1</x:v>
      </x:c>
      <x:c r="J498" s="66" t="n">
        <x:v>0</x:v>
      </x:c>
      <x:c r="K498" s="66" t="n">
        <x:v>22.625</x:v>
      </x:c>
      <x:c r="L498" s="66" t="n">
        <x:v>0.0272822389901517</x:v>
      </x:c>
      <x:c r="M498" s="66" t="n">
        <x:v>-0.00146073904237563</x:v>
      </x:c>
      <x:c r="N498" s="66" t="n">
        <x:v>0.0059878755670495</x:v>
      </x:c>
      <x:c r="O498" s="66" t="n">
        <x:v>0.0273081062359574</x:v>
      </x:c>
      <x:c r="P498" s="66" t="n">
        <x:v>0.00586877772009537</x:v>
      </x:c>
      <x:c r="Q498" s="66" t="n">
        <x:v>4.54688363565441e-9</x:v>
      </x:c>
      <x:c r="R498" s="66" t="str">
        <x:v>C:\Users\admin\.codex\.chatgpt-projects\g-p-6910508be2a081919b9cb5881a96c92b\overnight_refinement_2026-08-27\reports\R127_13k_Mp1p55_Ap0p25_Op0p00001_ise_report.json</x:v>
      </x:c>
    </x:row>
    <x:row r="499">
      <x:c r="A499" s="66" t="str">
        <x:v>R128_13k_Mp1p55_Ap0p25_Op0p0001_ise</x:v>
      </x:c>
      <x:c r="B499" s="66" t="str">
        <x:v>13k</x:v>
      </x:c>
      <x:c r="C499" s="66" t="n">
        <x:v>1.55</x:v>
      </x:c>
      <x:c r="D499" s="66" t="n">
        <x:v>0.25</x:v>
      </x:c>
      <x:c r="E499" s="66" t="n">
        <x:v>0.0001</x:v>
      </x:c>
      <x:c r="F499" s="66" t="str">
        <x:v>isentropic</x:v>
      </x:c>
      <x:c r="G499" s="66" t="str">
        <x:v>FQRUP</x:v>
      </x:c>
      <x:c r="H499" s="66" t="str">
        <x:v>OK</x:v>
      </x:c>
      <x:c r="I499" s="66" t="n">
        <x:v>1</x:v>
      </x:c>
      <x:c r="J499" s="66" t="n">
        <x:v>0</x:v>
      </x:c>
      <x:c r="K499" s="66" t="n">
        <x:v>22.797</x:v>
      </x:c>
      <x:c r="L499" s="66" t="n">
        <x:v>0.0272787107257084</x:v>
      </x:c>
      <x:c r="M499" s="66" t="n">
        <x:v>-0.00146048341767028</x:v>
      </x:c>
      <x:c r="N499" s="66" t="n">
        <x:v>0.00598938723024762</x:v>
      </x:c>
      <x:c r="O499" s="66" t="n">
        <x:v>0.0273045846009547</x:v>
      </x:c>
      <x:c r="P499" s="66" t="n">
        <x:v>0.00587030476381255</x:v>
      </x:c>
      <x:c r="Q499" s="66" t="n">
        <x:v>4.59237829025114e-8</x:v>
      </x:c>
      <x:c r="R499" s="66" t="str">
        <x:v>C:\Users\admin\.codex\.chatgpt-projects\g-p-6910508be2a081919b9cb5881a96c92b\overnight_refinement_2026-08-27\reports\R128_13k_Mp1p55_Ap0p25_Op0p0001_ise_report.json</x:v>
      </x:c>
    </x:row>
    <x:row r="500">
      <x:c r="A500" s="66" t="str">
        <x:v>R129_13k_Mp1p55_Ap0p5_Op0p00001_ise</x:v>
      </x:c>
      <x:c r="B500" s="66" t="str">
        <x:v>13k</x:v>
      </x:c>
      <x:c r="C500" s="66" t="n">
        <x:v>1.55</x:v>
      </x:c>
      <x:c r="D500" s="66" t="n">
        <x:v>0.5</x:v>
      </x:c>
      <x:c r="E500" s="66" t="n">
        <x:v>0.00001</x:v>
      </x:c>
      <x:c r="F500" s="66" t="str">
        <x:v>isentropic</x:v>
      </x:c>
      <x:c r="G500" s="66" t="str">
        <x:v>FQRUP</x:v>
      </x:c>
      <x:c r="H500" s="66" t="str">
        <x:v>OK</x:v>
      </x:c>
      <x:c r="I500" s="66" t="n">
        <x:v>1</x:v>
      </x:c>
      <x:c r="J500" s="66" t="n">
        <x:v>0</x:v>
      </x:c>
      <x:c r="K500" s="66" t="n">
        <x:v>22.734</x:v>
      </x:c>
      <x:c r="L500" s="66" t="n">
        <x:v>0.0271077787469382</x:v>
      </x:c>
      <x:c r="M500" s="66" t="n">
        <x:v>-0.00132357085740544</x:v>
      </x:c>
      <x:c r="N500" s="66" t="n">
        <x:v>0.00357571060356633</x:v>
      </x:c>
      <x:c r="O500" s="66" t="n">
        <x:v>0.0271379501313003</x:v>
      </x:c>
      <x:c r="P500" s="66" t="n">
        <x:v>0.00333901745794591</x:v>
      </x:c>
      <x:c r="Q500" s="66" t="n">
        <x:v>4.61312257392554e-9</x:v>
      </x:c>
      <x:c r="R500" s="66" t="str">
        <x:v>C:\Users\admin\.codex\.chatgpt-projects\g-p-6910508be2a081919b9cb5881a96c92b\overnight_refinement_2026-08-27\reports\R129_13k_Mp1p55_Ap0p5_Op0p00001_ise_report.json</x:v>
      </x:c>
    </x:row>
    <x:row r="501">
      <x:c r="A501" s="66" t="str">
        <x:v>R130_13k_Mp1p55_Ap0p5_Op0p0001_ise</x:v>
      </x:c>
      <x:c r="B501" s="66" t="str">
        <x:v>13k</x:v>
      </x:c>
      <x:c r="C501" s="66" t="n">
        <x:v>1.55</x:v>
      </x:c>
      <x:c r="D501" s="66" t="n">
        <x:v>0.5</x:v>
      </x:c>
      <x:c r="E501" s="66" t="n">
        <x:v>0.0001</x:v>
      </x:c>
      <x:c r="F501" s="66" t="str">
        <x:v>isentropic</x:v>
      </x:c>
      <x:c r="G501" s="66" t="str">
        <x:v>FQRUP</x:v>
      </x:c>
      <x:c r="H501" s="66" t="str">
        <x:v>OK</x:v>
      </x:c>
      <x:c r="I501" s="66" t="n">
        <x:v>1</x:v>
      </x:c>
      <x:c r="J501" s="66" t="n">
        <x:v>0</x:v>
      </x:c>
      <x:c r="K501" s="66" t="n">
        <x:v>22.985</x:v>
      </x:c>
      <x:c r="L501" s="66" t="n">
        <x:v>0.0271058529220891</x:v>
      </x:c>
      <x:c r="M501" s="66" t="n">
        <x:v>-0.00132406895887367</x:v>
      </x:c>
      <x:c r="N501" s="66" t="n">
        <x:v>0.00357344021088208</x:v>
      </x:c>
      <x:c r="O501" s="66" t="n">
        <x:v>0.0271360045671184</x:v>
      </x:c>
      <x:c r="P501" s="66" t="n">
        <x:v>0.00333676395749017</x:v>
      </x:c>
      <x:c r="Q501" s="66" t="n">
        <x:v>4.6591240203067e-8</x:v>
      </x:c>
      <x:c r="R501" s="66" t="str">
        <x:v>C:\Users\admin\.codex\.chatgpt-projects\g-p-6910508be2a081919b9cb5881a96c92b\overnight_refinement_2026-08-27\reports\R130_13k_Mp1p55_Ap0p5_Op0p0001_ise_report.json</x:v>
      </x:c>
    </x:row>
    <x:row r="502">
      <x:c r="A502" s="66" t="str">
        <x:v>R131_13k_Mp1p55_Ap0p75_Op0p00001_ise</x:v>
      </x:c>
      <x:c r="B502" s="66" t="str">
        <x:v>13k</x:v>
      </x:c>
      <x:c r="C502" s="66" t="n">
        <x:v>1.55</x:v>
      </x:c>
      <x:c r="D502" s="66" t="n">
        <x:v>0.75</x:v>
      </x:c>
      <x:c r="E502" s="66" t="n">
        <x:v>0.00001</x:v>
      </x:c>
      <x:c r="F502" s="66" t="str">
        <x:v>isentropic</x:v>
      </x:c>
      <x:c r="G502" s="66" t="str">
        <x:v>FQRUP</x:v>
      </x:c>
      <x:c r="H502" s="66" t="str">
        <x:v>OK</x:v>
      </x:c>
      <x:c r="I502" s="66" t="n">
        <x:v>1</x:v>
      </x:c>
      <x:c r="J502" s="66" t="n">
        <x:v>0</x:v>
      </x:c>
      <x:c r="K502" s="66" t="n">
        <x:v>22.75</x:v>
      </x:c>
      <x:c r="L502" s="66" t="n">
        <x:v>0.0269302393738453</x:v>
      </x:c>
      <x:c r="M502" s="66" t="n">
        <x:v>-0.00130792227844339</x:v>
      </x:c>
      <x:c r="N502" s="66" t="n">
        <x:v>0.00161685251133022</x:v>
      </x:c>
      <x:c r="O502" s="66" t="n">
        <x:v>0.0269490961403774</x:v>
      </x:c>
      <x:c r="P502" s="66" t="n">
        <x:v>0.00126420804960997</x:v>
      </x:c>
      <x:c r="Q502" s="66" t="n">
        <x:v>4.68386866021523e-9</x:v>
      </x:c>
      <x:c r="R502" s="66" t="str">
        <x:v>C:\Users\admin\.codex\.chatgpt-projects\g-p-6910508be2a081919b9cb5881a96c92b\overnight_refinement_2026-08-27\reports\R131_13k_Mp1p55_Ap0p75_Op0p00001_ise_report.json</x:v>
      </x:c>
    </x:row>
    <x:row r="503">
      <x:c r="A503" s="66" t="str">
        <x:v>R132_13k_Mp1p55_Ap0p75_Op0p0001_ise</x:v>
      </x:c>
      <x:c r="B503" s="66" t="str">
        <x:v>13k</x:v>
      </x:c>
      <x:c r="C503" s="66" t="n">
        <x:v>1.55</x:v>
      </x:c>
      <x:c r="D503" s="66" t="n">
        <x:v>0.75</x:v>
      </x:c>
      <x:c r="E503" s="66" t="n">
        <x:v>0.0001</x:v>
      </x:c>
      <x:c r="F503" s="66" t="str">
        <x:v>isentropic</x:v>
      </x:c>
      <x:c r="G503" s="66" t="str">
        <x:v>FQRUP</x:v>
      </x:c>
      <x:c r="H503" s="66" t="str">
        <x:v>OK</x:v>
      </x:c>
      <x:c r="I503" s="66" t="n">
        <x:v>1</x:v>
      </x:c>
      <x:c r="J503" s="66" t="n">
        <x:v>0</x:v>
      </x:c>
      <x:c r="K503" s="66" t="n">
        <x:v>22.828</x:v>
      </x:c>
      <x:c r="L503" s="66" t="n">
        <x:v>0.0269279331631339</x:v>
      </x:c>
      <x:c r="M503" s="66" t="n">
        <x:v>-0.00130808665207957</x:v>
      </x:c>
      <x:c r="N503" s="66" t="n">
        <x:v>0.00161532955453747</x:v>
      </x:c>
      <x:c r="O503" s="66" t="n">
        <x:v>0.0269467701923562</x:v>
      </x:c>
      <x:c r="P503" s="66" t="n">
        <x:v>0.00126271541065814</x:v>
      </x:c>
      <x:c r="Q503" s="66" t="n">
        <x:v>4.73028683272466e-8</x:v>
      </x:c>
      <x:c r="R503" s="66" t="str">
        <x:v>C:\Users\admin\.codex\.chatgpt-projects\g-p-6910508be2a081919b9cb5881a96c92b\overnight_refinement_2026-08-27\reports\R132_13k_Mp1p55_Ap0p75_Op0p0001_ise_report.json</x:v>
      </x:c>
    </x:row>
    <x:row r="504">
      <x:c r="A504" s="66" t="str">
        <x:v>R133_13k_Mp1p55_Ap1_Op0p00001_ise</x:v>
      </x:c>
      <x:c r="B504" s="66" t="str">
        <x:v>13k</x:v>
      </x:c>
      <x:c r="C504" s="66" t="n">
        <x:v>1.55</x:v>
      </x:c>
      <x:c r="D504" s="66" t="n">
        <x:v>1</x:v>
      </x:c>
      <x:c r="E504" s="66" t="n">
        <x:v>0.00001</x:v>
      </x:c>
      <x:c r="F504" s="66" t="str">
        <x:v>isentropic</x:v>
      </x:c>
      <x:c r="G504" s="66" t="str">
        <x:v>FQRUP</x:v>
      </x:c>
      <x:c r="H504" s="66" t="str">
        <x:v>OK</x:v>
      </x:c>
      <x:c r="I504" s="66" t="n">
        <x:v>1</x:v>
      </x:c>
      <x:c r="J504" s="66" t="n">
        <x:v>0</x:v>
      </x:c>
      <x:c r="K504" s="66" t="n">
        <x:v>22.672</x:v>
      </x:c>
      <x:c r="L504" s="66" t="n">
        <x:v>0.0267205092245672</x:v>
      </x:c>
      <x:c r="M504" s="66" t="n">
        <x:v>-0.00127945736662237</x:v>
      </x:c>
      <x:c r="N504" s="66" t="n">
        <x:v>0.000101661145784562</x:v>
      </x:c>
      <x:c r="O504" s="66" t="n">
        <x:v>0.0267182137932237</x:v>
      </x:c>
      <x:c r="P504" s="66" t="n">
        <x:v>-0.000364691524898678</x:v>
      </x:c>
      <x:c r="Q504" s="66" t="n">
        <x:v>4.75881531398516e-9</x:v>
      </x:c>
      <x:c r="R504" s="66" t="str">
        <x:v>C:\Users\admin\.codex\.chatgpt-projects\g-p-6910508be2a081919b9cb5881a96c92b\overnight_refinement_2026-08-27\reports\R133_13k_Mp1p55_Ap1_Op0p00001_ise_report.json</x:v>
      </x:c>
    </x:row>
    <x:row r="505">
      <x:c r="A505" s="66" t="str">
        <x:v>R134_13k_Mp1p55_Ap1_Op0p0001_ise</x:v>
      </x:c>
      <x:c r="B505" s="66" t="str">
        <x:v>13k</x:v>
      </x:c>
      <x:c r="C505" s="66" t="n">
        <x:v>1.55</x:v>
      </x:c>
      <x:c r="D505" s="66" t="n">
        <x:v>1</x:v>
      </x:c>
      <x:c r="E505" s="66" t="n">
        <x:v>0.0001</x:v>
      </x:c>
      <x:c r="F505" s="66" t="str">
        <x:v>isentropic</x:v>
      </x:c>
      <x:c r="G505" s="66" t="str">
        <x:v>FQRUP</x:v>
      </x:c>
      <x:c r="H505" s="66" t="str">
        <x:v>OK</x:v>
      </x:c>
      <x:c r="I505" s="66" t="n">
        <x:v>1</x:v>
      </x:c>
      <x:c r="J505" s="66" t="n">
        <x:v>0</x:v>
      </x:c>
      <x:c r="K505" s="66" t="n">
        <x:v>22.859</x:v>
      </x:c>
      <x:c r="L505" s="66" t="n">
        <x:v>0.0267181237551841</x:v>
      </x:c>
      <x:c r="M505" s="66" t="n">
        <x:v>-0.00127598171005563</x:v>
      </x:c>
      <x:c r="N505" s="66" t="n">
        <x:v>0.000101060755031546</x:v>
      </x:c>
      <x:c r="O505" s="66" t="n">
        <x:v>0.0267158182088957</x:v>
      </x:c>
      <x:c r="P505" s="66" t="n">
        <x:v>-0.000365250192028057</x:v>
      </x:c>
      <x:c r="Q505" s="66" t="n">
        <x:v>4.80556479217786e-8</x:v>
      </x:c>
      <x:c r="R505" s="66" t="str">
        <x:v>C:\Users\admin\.codex\.chatgpt-projects\g-p-6910508be2a081919b9cb5881a96c92b\overnight_refinement_2026-08-27\reports\R134_13k_Mp1p55_Ap1_Op0p0001_ise_report.json</x:v>
      </x:c>
    </x:row>
    <x:row r="506">
      <x:c r="A506" s="66" t="str">
        <x:v>R135_13k_Mp1p55_Ap1p5_Op0p00001_ise</x:v>
      </x:c>
      <x:c r="B506" s="66" t="str">
        <x:v>13k</x:v>
      </x:c>
      <x:c r="C506" s="66" t="n">
        <x:v>1.55</x:v>
      </x:c>
      <x:c r="D506" s="66" t="n">
        <x:v>1.5</x:v>
      </x:c>
      <x:c r="E506" s="66" t="n">
        <x:v>0.00001</x:v>
      </x:c>
      <x:c r="F506" s="66" t="str">
        <x:v>isentropic</x:v>
      </x:c>
      <x:c r="G506" s="66" t="str">
        <x:v>FQRUP</x:v>
      </x:c>
      <x:c r="H506" s="66" t="str">
        <x:v>OK</x:v>
      </x:c>
      <x:c r="I506" s="66" t="n">
        <x:v>1</x:v>
      </x:c>
      <x:c r="J506" s="66" t="n">
        <x:v>0</x:v>
      </x:c>
      <x:c r="K506" s="66" t="n">
        <x:v>22.5</x:v>
      </x:c>
      <x:c r="L506" s="66" t="n">
        <x:v>0.0262095176459518</x:v>
      </x:c>
      <x:c r="M506" s="66" t="n">
        <x:v>-0.00160609603248269</x:v>
      </x:c>
      <x:c r="N506" s="66" t="n">
        <x:v>-0.000200431736796853</x:v>
      </x:c>
      <x:c r="O506" s="66" t="n">
        <x:v>0.0261952896076385</x:v>
      </x:c>
      <x:c r="P506" s="66" t="n">
        <x:v>-0.000886448242438916</x:v>
      </x:c>
      <x:c r="Q506" s="66" t="n">
        <x:v>4.92070082268013e-9</x:v>
      </x:c>
      <x:c r="R506" s="66" t="str">
        <x:v>C:\Users\admin\.codex\.chatgpt-projects\g-p-6910508be2a081919b9cb5881a96c92b\overnight_refinement_2026-08-27\reports\R135_13k_Mp1p55_Ap1p5_Op0p00001_ise_report.json</x:v>
      </x:c>
    </x:row>
    <x:row r="507">
      <x:c r="A507" s="66" t="str">
        <x:v>R136_13k_Mp1p55_Ap1p5_Op0p0001_ise</x:v>
      </x:c>
      <x:c r="B507" s="66" t="str">
        <x:v>13k</x:v>
      </x:c>
      <x:c r="C507" s="66" t="n">
        <x:v>1.55</x:v>
      </x:c>
      <x:c r="D507" s="66" t="n">
        <x:v>1.5</x:v>
      </x:c>
      <x:c r="E507" s="66" t="n">
        <x:v>0.0001</x:v>
      </x:c>
      <x:c r="F507" s="66" t="str">
        <x:v>isentropic</x:v>
      </x:c>
      <x:c r="G507" s="66" t="str">
        <x:v>FQRUP</x:v>
      </x:c>
      <x:c r="H507" s="66" t="str">
        <x:v>OK</x:v>
      </x:c>
      <x:c r="I507" s="66" t="n">
        <x:v>1</x:v>
      </x:c>
      <x:c r="J507" s="66" t="n">
        <x:v>0</x:v>
      </x:c>
      <x:c r="K507" s="66" t="n">
        <x:v>22.641</x:v>
      </x:c>
      <x:c r="L507" s="66" t="n">
        <x:v>0.0262055724599312</x:v>
      </x:c>
      <x:c r="M507" s="66" t="n">
        <x:v>-0.00160112209087792</x:v>
      </x:c>
      <x:c r="N507" s="66" t="n">
        <x:v>-0.000201306316144687</x:v>
      </x:c>
      <x:c r="O507" s="66" t="n">
        <x:v>0.0261913228797162</x:v>
      </x:c>
      <x:c r="P507" s="66" t="n">
        <x:v>-0.000887219249159725</x:v>
      </x:c>
      <x:c r="Q507" s="66" t="n">
        <x:v>4.96802288364922e-8</x:v>
      </x:c>
      <x:c r="R507" s="66" t="str">
        <x:v>C:\Users\admin\.codex\.chatgpt-projects\g-p-6910508be2a081919b9cb5881a96c92b\overnight_refinement_2026-08-27\reports\R136_13k_Mp1p55_Ap1p5_Op0p0001_ise_report.json</x:v>
      </x:c>
    </x:row>
    <x:row r="508">
      <x:c r="A508" s="66" t="str">
        <x:v>R137_21k_Mp1p2_Am1p5_Op0p00001_ise</x:v>
      </x:c>
      <x:c r="B508" s="66" t="str">
        <x:v>21k</x:v>
      </x:c>
      <x:c r="C508" s="66" t="n">
        <x:v>1.2</x:v>
      </x:c>
      <x:c r="D508" s="66" t="n">
        <x:v>-1.5</x:v>
      </x:c>
      <x:c r="E508" s="66" t="n">
        <x:v>0.00001</x:v>
      </x:c>
      <x:c r="F508" s="66" t="str">
        <x:v>isentropic</x:v>
      </x:c>
      <x:c r="G508" s="66" t="str">
        <x:v>FQRUP</x:v>
      </x:c>
      <x:c r="H508" s="66" t="str">
        <x:v>OK</x:v>
      </x:c>
      <x:c r="I508" s="66" t="n">
        <x:v>1</x:v>
      </x:c>
      <x:c r="J508" s="66" t="n">
        <x:v>0</x:v>
      </x:c>
      <x:c r="K508" s="66" t="n">
        <x:v>99.937</x:v>
      </x:c>
      <x:c r="L508" s="66" t="n">
        <x:v>0.0386674614559179</x:v>
      </x:c>
      <x:c r="M508" s="66" t="n">
        <x:v>-0.000906996404966065</x:v>
      </x:c>
      <x:c r="N508" s="66" t="n">
        <x:v>0.00457125563642365</x:v>
      </x:c>
      <x:c r="O508" s="66" t="n">
        <x:v>0.0385345495601216</x:v>
      </x:c>
      <x:c r="P508" s="66" t="n">
        <x:v>0.00558188532101494</x:v>
      </x:c>
      <x:c r="Q508" s="66" t="n">
        <x:v>8.34508654385949e-9</x:v>
      </x:c>
      <x:c r="R508" s="66" t="str">
        <x:v>C:\Users\admin\.codex\.chatgpt-projects\g-p-6910508be2a081919b9cb5881a96c92b\overnight_refinement_2026-08-27\reports\R137_21k_Mp1p2_Am1p5_Op0p00001_ise_report.json</x:v>
      </x:c>
    </x:row>
    <x:row r="509">
      <x:c r="A509" s="66" t="str">
        <x:v>R138_21k_Mp1p2_Am0p5_Op0p00001_ise</x:v>
      </x:c>
      <x:c r="B509" s="66" t="str">
        <x:v>21k</x:v>
      </x:c>
      <x:c r="C509" s="66" t="n">
        <x:v>1.2</x:v>
      </x:c>
      <x:c r="D509" s="66" t="n">
        <x:v>-0.5</x:v>
      </x:c>
      <x:c r="E509" s="66" t="n">
        <x:v>0.00001</x:v>
      </x:c>
      <x:c r="F509" s="66" t="str">
        <x:v>isentropic</x:v>
      </x:c>
      <x:c r="G509" s="66" t="str">
        <x:v>FQRUP</x:v>
      </x:c>
      <x:c r="H509" s="66" t="str">
        <x:v>OK</x:v>
      </x:c>
      <x:c r="I509" s="66" t="n">
        <x:v>1</x:v>
      </x:c>
      <x:c r="J509" s="66" t="n">
        <x:v>0</x:v>
      </x:c>
      <x:c r="K509" s="66" t="n">
        <x:v>100.125</x:v>
      </x:c>
      <x:c r="L509" s="66" t="n">
        <x:v>0.0402709063771952</x:v>
      </x:c>
      <x:c r="M509" s="66" t="n">
        <x:v>-0.000498472421492752</x:v>
      </x:c>
      <x:c r="N509" s="66" t="n">
        <x:v>0.00147939004275184</x:v>
      </x:c>
      <x:c r="O509" s="66" t="n">
        <x:v>0.0402564630347533</x:v>
      </x:c>
      <x:c r="P509" s="66" t="n">
        <x:v>0.0018307592061644</x:v>
      </x:c>
      <x:c r="Q509" s="66" t="n">
        <x:v>8.91126877773035e-9</x:v>
      </x:c>
      <x:c r="R509" s="66" t="str">
        <x:v>C:\Users\admin\.codex\.chatgpt-projects\g-p-6910508be2a081919b9cb5881a96c92b\overnight_refinement_2026-08-27\reports\R138_21k_Mp1p2_Am0p5_Op0p00001_ise_report.json</x:v>
      </x:c>
    </x:row>
    <x:row r="510">
      <x:c r="A510" s="66" t="str">
        <x:v>R139_21k_Mp1p2_Ap0p5_Op0p00001_ise</x:v>
      </x:c>
      <x:c r="B510" s="66" t="str">
        <x:v>21k</x:v>
      </x:c>
      <x:c r="C510" s="66" t="n">
        <x:v>1.2</x:v>
      </x:c>
      <x:c r="D510" s="66" t="n">
        <x:v>0.5</x:v>
      </x:c>
      <x:c r="E510" s="66" t="n">
        <x:v>0.00001</x:v>
      </x:c>
      <x:c r="F510" s="66" t="str">
        <x:v>isentropic</x:v>
      </x:c>
      <x:c r="G510" s="66" t="str">
        <x:v>FQRUP</x:v>
      </x:c>
      <x:c r="H510" s="66" t="str">
        <x:v>OK</x:v>
      </x:c>
      <x:c r="I510" s="66" t="n">
        <x:v>1</x:v>
      </x:c>
      <x:c r="J510" s="66" t="n">
        <x:v>0</x:v>
      </x:c>
      <x:c r="K510" s="66" t="n">
        <x:v>99.969</x:v>
      </x:c>
      <x:c r="L510" s="66" t="n">
        <x:v>0.0404703555209559</x:v>
      </x:c>
      <x:c r="M510" s="66" t="n">
        <x:v>-0.000570991184714665</x:v>
      </x:c>
      <x:c r="N510" s="66" t="n">
        <x:v>-0.00430837130017853</x:v>
      </x:c>
      <x:c r="O510" s="66" t="n">
        <x:v>0.0404312173787346</x:v>
      </x:c>
      <x:c r="P510" s="66" t="n">
        <x:v>-0.00466137324468644</x:v>
      </x:c>
      <x:c r="Q510" s="66" t="n">
        <x:v>8.9668496781785e-9</x:v>
      </x:c>
      <x:c r="R510" s="66" t="str">
        <x:v>C:\Users\admin\.codex\.chatgpt-projects\g-p-6910508be2a081919b9cb5881a96c92b\overnight_refinement_2026-08-27\reports\R139_21k_Mp1p2_Ap0p5_Op0p00001_ise_report.json</x:v>
      </x:c>
    </x:row>
    <x:row r="511">
      <x:c r="A511" s="66" t="str">
        <x:v>R140_21k_Mp1p2_Ap1p25_Op0p00001_ise</x:v>
      </x:c>
      <x:c r="B511" s="66" t="str">
        <x:v>21k</x:v>
      </x:c>
      <x:c r="C511" s="66" t="n">
        <x:v>1.2</x:v>
      </x:c>
      <x:c r="D511" s="66" t="n">
        <x:v>1.25</x:v>
      </x:c>
      <x:c r="E511" s="66" t="n">
        <x:v>0.00001</x:v>
      </x:c>
      <x:c r="F511" s="66" t="str">
        <x:v>isentropic</x:v>
      </x:c>
      <x:c r="G511" s="66" t="str">
        <x:v>FQRUP</x:v>
      </x:c>
      <x:c r="H511" s="66" t="str">
        <x:v>OK</x:v>
      </x:c>
      <x:c r="I511" s="66" t="n">
        <x:v>1</x:v>
      </x:c>
      <x:c r="J511" s="66" t="n">
        <x:v>0</x:v>
      </x:c>
      <x:c r="K511" s="66" t="n">
        <x:v>99.547</x:v>
      </x:c>
      <x:c r="L511" s="66" t="n">
        <x:v>0.0392378834300313</x:v>
      </x:c>
      <x:c r="M511" s="66" t="n">
        <x:v>-0.000257654425034716</x:v>
      </x:c>
      <x:c r="N511" s="66" t="n">
        <x:v>-0.0070955025390028</x:v>
      </x:c>
      <x:c r="O511" s="66" t="n">
        <x:v>0.0390737583041825</x:v>
      </x:c>
      <x:c r="P511" s="66" t="n">
        <x:v>-0.00794978391756973</x:v>
      </x:c>
      <x:c r="Q511" s="66" t="n">
        <x:v>8.98827569239226e-9</x:v>
      </x:c>
      <x:c r="R511" s="66" t="str">
        <x:v>C:\Users\admin\.codex\.chatgpt-projects\g-p-6910508be2a081919b9cb5881a96c92b\overnight_refinement_2026-08-27\reports\R140_21k_Mp1p2_Ap1p25_Op0p00001_ise_report.json</x:v>
      </x:c>
    </x:row>
    <x:row r="512">
      <x:c r="A512" s="66" t="str">
        <x:v>R141_21k_Mp1p2_Ap1p5_Op0p00001_ise</x:v>
      </x:c>
      <x:c r="B512" s="66" t="str">
        <x:v>21k</x:v>
      </x:c>
      <x:c r="C512" s="66" t="n">
        <x:v>1.2</x:v>
      </x:c>
      <x:c r="D512" s="66" t="n">
        <x:v>1.5</x:v>
      </x:c>
      <x:c r="E512" s="66" t="n">
        <x:v>0.00001</x:v>
      </x:c>
      <x:c r="F512" s="66" t="str">
        <x:v>isentropic</x:v>
      </x:c>
      <x:c r="G512" s="66" t="str">
        <x:v>FQRUP</x:v>
      </x:c>
      <x:c r="H512" s="66" t="str">
        <x:v>OK</x:v>
      </x:c>
      <x:c r="I512" s="66" t="n">
        <x:v>1</x:v>
      </x:c>
      <x:c r="J512" s="66" t="n">
        <x:v>0</x:v>
      </x:c>
      <x:c r="K512" s="66" t="n">
        <x:v>99.922</x:v>
      </x:c>
      <x:c r="L512" s="66" t="n">
        <x:v>0.0385137040350833</x:v>
      </x:c>
      <x:c r="M512" s="66" t="n">
        <x:v>0.000113932253588875</x:v>
      </x:c>
      <x:c r="N512" s="66" t="n">
        <x:v>-0.00690432501210086</x:v>
      </x:c>
      <x:c r="O512" s="66" t="n">
        <x:v>0.0383197721916692</x:v>
      </x:c>
      <x:c r="P512" s="66" t="n">
        <x:v>-0.00791013031202968</x:v>
      </x:c>
      <x:c r="Q512" s="66" t="n">
        <x:v>8.99559393994388e-9</x:v>
      </x:c>
      <x:c r="R512" s="66" t="str">
        <x:v>C:\Users\admin\.codex\.chatgpt-projects\g-p-6910508be2a081919b9cb5881a96c92b\overnight_refinement_2026-08-27\reports\R141_21k_Mp1p2_Ap1p5_Op0p00001_ise_report.json</x:v>
      </x:c>
    </x:row>
    <x:row r="513">
      <x:c r="A513" s="66" t="str">
        <x:v>R142_21k_Mp1p25_Am1p5_Op0p00001_ise</x:v>
      </x:c>
      <x:c r="B513" s="66" t="str">
        <x:v>21k</x:v>
      </x:c>
      <x:c r="C513" s="66" t="n">
        <x:v>1.25</x:v>
      </x:c>
      <x:c r="D513" s="66" t="n">
        <x:v>-1.5</x:v>
      </x:c>
      <x:c r="E513" s="66" t="n">
        <x:v>0.00001</x:v>
      </x:c>
      <x:c r="F513" s="66" t="str">
        <x:v>isentropic</x:v>
      </x:c>
      <x:c r="G513" s="66" t="str">
        <x:v>FQRUP</x:v>
      </x:c>
      <x:c r="H513" s="66" t="str">
        <x:v>OK</x:v>
      </x:c>
      <x:c r="I513" s="66" t="n">
        <x:v>1</x:v>
      </x:c>
      <x:c r="J513" s="66" t="n">
        <x:v>0</x:v>
      </x:c>
      <x:c r="K513" s="66" t="n">
        <x:v>90.125</x:v>
      </x:c>
      <x:c r="L513" s="66" t="n">
        <x:v>0.0351177983857426</x:v>
      </x:c>
      <x:c r="M513" s="66" t="n">
        <x:v>-0.000289205346925739</x:v>
      </x:c>
      <x:c r="N513" s="66" t="n">
        <x:v>0.00357894463965557</x:v>
      </x:c>
      <x:c r="O513" s="66" t="n">
        <x:v>0.0350120785444934</x:v>
      </x:c>
      <x:c r="P513" s="66" t="n">
        <x:v>0.00449699501774359</x:v>
      </x:c>
      <x:c r="Q513" s="66" t="n">
        <x:v>8.87344448295799e-9</x:v>
      </x:c>
      <x:c r="R513" s="66" t="str">
        <x:v>C:\Users\admin\.codex\.chatgpt-projects\g-p-6910508be2a081919b9cb5881a96c92b\overnight_refinement_2026-08-27\reports\R142_21k_Mp1p25_Am1p5_Op0p00001_ise_report.json</x:v>
      </x:c>
    </x:row>
    <x:row r="514">
      <x:c r="A514" s="66" t="str">
        <x:v>R143_21k_Mp1p25_Am0p5_Op0p00001_ise</x:v>
      </x:c>
      <x:c r="B514" s="66" t="str">
        <x:v>21k</x:v>
      </x:c>
      <x:c r="C514" s="66" t="n">
        <x:v>1.25</x:v>
      </x:c>
      <x:c r="D514" s="66" t="n">
        <x:v>-0.5</x:v>
      </x:c>
      <x:c r="E514" s="66" t="n">
        <x:v>0.00001</x:v>
      </x:c>
      <x:c r="F514" s="66" t="str">
        <x:v>isentropic</x:v>
      </x:c>
      <x:c r="G514" s="66" t="str">
        <x:v>FQRUP</x:v>
      </x:c>
      <x:c r="H514" s="66" t="str">
        <x:v>OK</x:v>
      </x:c>
      <x:c r="I514" s="66" t="n">
        <x:v>1</x:v>
      </x:c>
      <x:c r="J514" s="66" t="n">
        <x:v>0</x:v>
      </x:c>
      <x:c r="K514" s="66" t="n">
        <x:v>89.907</x:v>
      </x:c>
      <x:c r="L514" s="66" t="n">
        <x:v>0.0362385121905987</x:v>
      </x:c>
      <x:c r="M514" s="66" t="n">
        <x:v>-0.000230926470325331</x:v>
      </x:c>
      <x:c r="N514" s="66" t="n">
        <x:v>-0.00123687973287168</x:v>
      </x:c>
      <x:c r="O514" s="66" t="n">
        <x:v>0.0362479260139916</x:v>
      </x:c>
      <x:c r="P514" s="66" t="n">
        <x:v>-0.000920595973241948</x:v>
      </x:c>
      <x:c r="Q514" s="66" t="n">
        <x:v>8.97261552636963e-9</x:v>
      </x:c>
      <x:c r="R514" s="66" t="str">
        <x:v>C:\Users\admin\.codex\.chatgpt-projects\g-p-6910508be2a081919b9cb5881a96c92b\overnight_refinement_2026-08-27\reports\R143_21k_Mp1p25_Am0p5_Op0p00001_ise_report.json</x:v>
      </x:c>
    </x:row>
    <x:row r="515">
      <x:c r="A515" s="66" t="str">
        <x:v>R144_21k_Mp1p25_Am0p25_Op0p00001_ise</x:v>
      </x:c>
      <x:c r="B515" s="66" t="str">
        <x:v>21k</x:v>
      </x:c>
      <x:c r="C515" s="66" t="n">
        <x:v>1.25</x:v>
      </x:c>
      <x:c r="D515" s="66" t="n">
        <x:v>-0.25</x:v>
      </x:c>
      <x:c r="E515" s="66" t="n">
        <x:v>0.00001</x:v>
      </x:c>
      <x:c r="F515" s="66" t="str">
        <x:v>isentropic</x:v>
      </x:c>
      <x:c r="G515" s="66" t="str">
        <x:v>FQRUP</x:v>
      </x:c>
      <x:c r="H515" s="66" t="str">
        <x:v>OK</x:v>
      </x:c>
      <x:c r="I515" s="66" t="n">
        <x:v>1</x:v>
      </x:c>
      <x:c r="J515" s="66" t="n">
        <x:v>0</x:v>
      </x:c>
      <x:c r="K515" s="66" t="n">
        <x:v>90.016</x:v>
      </x:c>
      <x:c r="L515" s="66" t="n">
        <x:v>0.0363713709789519</x:v>
      </x:c>
      <x:c r="M515" s="66" t="n">
        <x:v>-0.000342169017847485</x:v>
      </x:c>
      <x:c r="N515" s="66" t="n">
        <x:v>-0.0029015919334534</x:v>
      </x:c>
      <x:c r="O515" s="66" t="n">
        <x:v>0.0363836852927381</x:v>
      </x:c>
      <x:c r="P515" s="66" t="n">
        <x:v>-0.00274286477169805</x:v>
      </x:c>
      <x:c r="Q515" s="66" t="n">
        <x:v>9.04274527949264e-9</x:v>
      </x:c>
      <x:c r="R515" s="66" t="str">
        <x:v>C:\Users\admin\.codex\.chatgpt-projects\g-p-6910508be2a081919b9cb5881a96c92b\overnight_refinement_2026-08-27\reports\R144_21k_Mp1p25_Am0p25_Op0p00001_ise_report.json</x:v>
      </x:c>
    </x:row>
    <x:row r="516">
      <x:c r="A516" s="66" t="str">
        <x:v>R145_21k_Mp1p25_Ap0p25_Op0p00001_ise</x:v>
      </x:c>
      <x:c r="B516" s="66" t="str">
        <x:v>21k</x:v>
      </x:c>
      <x:c r="C516" s="66" t="n">
        <x:v>1.25</x:v>
      </x:c>
      <x:c r="D516" s="66" t="n">
        <x:v>0.25</x:v>
      </x:c>
      <x:c r="E516" s="66" t="n">
        <x:v>0.00001</x:v>
      </x:c>
      <x:c r="F516" s="66" t="str">
        <x:v>isentropic</x:v>
      </x:c>
      <x:c r="G516" s="66" t="str">
        <x:v>FQRUP</x:v>
      </x:c>
      <x:c r="H516" s="66" t="str">
        <x:v>OK</x:v>
      </x:c>
      <x:c r="I516" s="66" t="n">
        <x:v>1</x:v>
      </x:c>
      <x:c r="J516" s="66" t="n">
        <x:v>0</x:v>
      </x:c>
      <x:c r="K516" s="66" t="n">
        <x:v>89.812</x:v>
      </x:c>
      <x:c r="L516" s="66" t="n">
        <x:v>0.0363427079080044</x:v>
      </x:c>
      <x:c r="M516" s="66" t="n">
        <x:v>-0.000406829978849225</x:v>
      </x:c>
      <x:c r="N516" s="66" t="n">
        <x:v>-0.00651623980143393</x:v>
      </x:c>
      <x:c r="O516" s="66" t="n">
        <x:v>0.0363139295819913</x:v>
      </x:c>
      <x:c r="P516" s="66" t="n">
        <x:v>-0.00667475224637533</x:v>
      </x:c>
      <x:c r="Q516" s="66" t="n">
        <x:v>9.15119320493229e-9</x:v>
      </x:c>
      <x:c r="R516" s="66" t="str">
        <x:v>C:\Users\admin\.codex\.chatgpt-projects\g-p-6910508be2a081919b9cb5881a96c92b\overnight_refinement_2026-08-27\reports\R145_21k_Mp1p25_Ap0p25_Op0p00001_ise_report.json</x:v>
      </x:c>
    </x:row>
    <x:row r="517">
      <x:c r="A517" s="66" t="str">
        <x:v>R146_21k_Mp1p25_Ap0p5_Op0p00001_ise</x:v>
      </x:c>
      <x:c r="B517" s="66" t="str">
        <x:v>21k</x:v>
      </x:c>
      <x:c r="C517" s="66" t="n">
        <x:v>1.25</x:v>
      </x:c>
      <x:c r="D517" s="66" t="n">
        <x:v>0.5</x:v>
      </x:c>
      <x:c r="E517" s="66" t="n">
        <x:v>0.00001</x:v>
      </x:c>
      <x:c r="F517" s="66" t="str">
        <x:v>isentropic</x:v>
      </x:c>
      <x:c r="G517" s="66" t="str">
        <x:v>FQRUP</x:v>
      </x:c>
      <x:c r="H517" s="66" t="str">
        <x:v>OK</x:v>
      </x:c>
      <x:c r="I517" s="66" t="n">
        <x:v>1</x:v>
      </x:c>
      <x:c r="J517" s="66" t="n">
        <x:v>0</x:v>
      </x:c>
      <x:c r="K517" s="66" t="n">
        <x:v>90.016</x:v>
      </x:c>
      <x:c r="L517" s="66" t="n">
        <x:v>0.0361664609301203</x:v>
      </x:c>
      <x:c r="M517" s="66" t="n">
        <x:v>-0.000346263289289733</x:v>
      </x:c>
      <x:c r="N517" s="66" t="n">
        <x:v>-0.00837469421891991</x:v>
      </x:c>
      <x:c r="O517" s="66" t="n">
        <x:v>0.0360920017557189</x:v>
      </x:c>
      <x:c r="P517" s="66" t="n">
        <x:v>-0.0086899832413828</x:v>
      </x:c>
      <x:c r="Q517" s="66" t="n">
        <x:v>9.19789435127986e-9</x:v>
      </x:c>
      <x:c r="R517" s="66" t="str">
        <x:v>C:\Users\admin\.codex\.chatgpt-projects\g-p-6910508be2a081919b9cb5881a96c92b\overnight_refinement_2026-08-27\reports\R146_21k_Mp1p25_Ap0p5_Op0p00001_ise_report.json</x:v>
      </x:c>
    </x:row>
    <x:row r="518">
      <x:c r="A518" s="66" t="str">
        <x:v>R147_21k_Mp1p25_Ap1p5_Op0p00001_ise</x:v>
      </x:c>
      <x:c r="B518" s="66" t="str">
        <x:v>21k</x:v>
      </x:c>
      <x:c r="C518" s="66" t="n">
        <x:v>1.25</x:v>
      </x:c>
      <x:c r="D518" s="66" t="n">
        <x:v>1.5</x:v>
      </x:c>
      <x:c r="E518" s="66" t="n">
        <x:v>0.00001</x:v>
      </x:c>
      <x:c r="F518" s="66" t="str">
        <x:v>isentropic</x:v>
      </x:c>
      <x:c r="G518" s="66" t="str">
        <x:v>FQRUP</x:v>
      </x:c>
      <x:c r="H518" s="66" t="str">
        <x:v>OK</x:v>
      </x:c>
      <x:c r="I518" s="66" t="n">
        <x:v>1</x:v>
      </x:c>
      <x:c r="J518" s="66" t="n">
        <x:v>0</x:v>
      </x:c>
      <x:c r="K518" s="66" t="n">
        <x:v>89.219</x:v>
      </x:c>
      <x:c r="L518" s="66" t="n">
        <x:v>0.0347071089399061</x:v>
      </x:c>
      <x:c r="M518" s="66" t="n">
        <x:v>0.000927417517431783</x:v>
      </x:c>
      <x:c r="N518" s="66" t="n">
        <x:v>-0.010882965692403</x:v>
      </x:c>
      <x:c r="O518" s="66" t="n">
        <x:v>0.0344103328501354</x:v>
      </x:c>
      <x:c r="P518" s="66" t="n">
        <x:v>-0.011787762568504</x:v>
      </x:c>
      <x:c r="Q518" s="66" t="n">
        <x:v>9.54777061566754e-9</x:v>
      </x:c>
      <x:c r="R518" s="66" t="str">
        <x:v>C:\Users\admin\.codex\.chatgpt-projects\g-p-6910508be2a081919b9cb5881a96c92b\overnight_refinement_2026-08-27\reports\R147_21k_Mp1p25_Ap1p5_Op0p00001_ise_report.json</x:v>
      </x:c>
    </x:row>
    <x:row r="519">
      <x:c r="A519" s="66" t="str">
        <x:v>R148_21k_Mp1p5_Am1p75_Op0p00001_ise</x:v>
      </x:c>
      <x:c r="B519" s="66" t="str">
        <x:v>21k</x:v>
      </x:c>
      <x:c r="C519" s="66" t="n">
        <x:v>1.5</x:v>
      </x:c>
      <x:c r="D519" s="66" t="n">
        <x:v>-1.75</x:v>
      </x:c>
      <x:c r="E519" s="66" t="n">
        <x:v>0.00001</x:v>
      </x:c>
      <x:c r="F519" s="66" t="str">
        <x:v>isentropic</x:v>
      </x:c>
      <x:c r="G519" s="66" t="str">
        <x:v>FQRUP</x:v>
      </x:c>
      <x:c r="H519" s="66" t="str">
        <x:v>OK</x:v>
      </x:c>
      <x:c r="I519" s="66" t="n">
        <x:v>1</x:v>
      </x:c>
      <x:c r="J519" s="66" t="n">
        <x:v>0</x:v>
      </x:c>
      <x:c r="K519" s="66" t="n">
        <x:v>59.203</x:v>
      </x:c>
      <x:c r="L519" s="66" t="n">
        <x:v>0.0271563763453553</x:v>
      </x:c>
      <x:c r="M519" s="66" t="n">
        <x:v>-0.0350940053870787</x:v>
      </x:c>
      <x:c r="N519" s="66" t="n">
        <x:v>0.0280910455451465</x:v>
      </x:c>
      <x:c r="O519" s="66" t="n">
        <x:v>0.026285851597128</x:v>
      </x:c>
      <x:c r="P519" s="66" t="n">
        <x:v>0.0289072589818515</x:v>
      </x:c>
      <x:c r="Q519" s="66" t="n">
        <x:v>8.13959450969481e-9</x:v>
      </x:c>
      <x:c r="R519" s="66" t="str">
        <x:v>C:\Users\admin\.codex\.chatgpt-projects\g-p-6910508be2a081919b9cb5881a96c92b\overnight_refinement_2026-08-27\reports\R148_21k_Mp1p5_Am1p75_Op0p00001_ise_report.json</x:v>
      </x:c>
    </x:row>
    <x:row r="520">
      <x:c r="A520" s="66" t="str">
        <x:v>R149_21k_Mp1p5_Am1p5_Op0p00001_ise</x:v>
      </x:c>
      <x:c r="B520" s="66" t="str">
        <x:v>21k</x:v>
      </x:c>
      <x:c r="C520" s="66" t="n">
        <x:v>1.5</x:v>
      </x:c>
      <x:c r="D520" s="66" t="n">
        <x:v>-1.5</x:v>
      </x:c>
      <x:c r="E520" s="66" t="n">
        <x:v>0.00001</x:v>
      </x:c>
      <x:c r="F520" s="66" t="str">
        <x:v>isentropic</x:v>
      </x:c>
      <x:c r="G520" s="66" t="str">
        <x:v>FQRUP</x:v>
      </x:c>
      <x:c r="H520" s="66" t="str">
        <x:v>OK</x:v>
      </x:c>
      <x:c r="I520" s="66" t="n">
        <x:v>1</x:v>
      </x:c>
      <x:c r="J520" s="66" t="n">
        <x:v>0</x:v>
      </x:c>
      <x:c r="K520" s="66" t="n">
        <x:v>59.422</x:v>
      </x:c>
      <x:c r="L520" s="66" t="n">
        <x:v>0.0266440415318866</x:v>
      </x:c>
      <x:c r="M520" s="66" t="n">
        <x:v>-0.0396900916443667</x:v>
      </x:c>
      <x:c r="N520" s="66" t="n">
        <x:v>0.0394224337693029</x:v>
      </x:c>
      <x:c r="O520" s="66" t="n">
        <x:v>0.0256029522733538</x:v>
      </x:c>
      <x:c r="P520" s="66" t="n">
        <x:v>0.0401063843837404</x:v>
      </x:c>
      <x:c r="Q520" s="66" t="n">
        <x:v>8.10542954357334e-9</x:v>
      </x:c>
      <x:c r="R520" s="66" t="str">
        <x:v>C:\Users\admin\.codex\.chatgpt-projects\g-p-6910508be2a081919b9cb5881a96c92b\overnight_refinement_2026-08-27\reports\R149_21k_Mp1p5_Am1p5_Op0p00001_ise_report.json</x:v>
      </x:c>
    </x:row>
    <x:row r="521">
      <x:c r="A521" s="66" t="str">
        <x:v>R150_21k_Mp1p5_Am1p25_Op0p00001_ise</x:v>
      </x:c>
      <x:c r="B521" s="66" t="str">
        <x:v>21k</x:v>
      </x:c>
      <x:c r="C521" s="66" t="n">
        <x:v>1.5</x:v>
      </x:c>
      <x:c r="D521" s="66" t="n">
        <x:v>-1.25</x:v>
      </x:c>
      <x:c r="E521" s="66" t="n">
        <x:v>0.00001</x:v>
      </x:c>
      <x:c r="F521" s="66" t="str">
        <x:v>isentropic</x:v>
      </x:c>
      <x:c r="G521" s="66" t="str">
        <x:v>FQRUP</x:v>
      </x:c>
      <x:c r="H521" s="66" t="str">
        <x:v>OK</x:v>
      </x:c>
      <x:c r="I521" s="66" t="n">
        <x:v>1</x:v>
      </x:c>
      <x:c r="J521" s="66" t="n">
        <x:v>0</x:v>
      </x:c>
      <x:c r="K521" s="66" t="n">
        <x:v>58.516</x:v>
      </x:c>
      <x:c r="L521" s="66" t="n">
        <x:v>0.0169177150230933</x:v>
      </x:c>
      <x:c r="M521" s="66" t="n">
        <x:v>0.000241468867034695</x:v>
      </x:c>
      <x:c r="N521" s="66" t="n">
        <x:v>0.018310945535838</x:v>
      </x:c>
      <x:c r="O521" s="66" t="n">
        <x:v>0.0165142378933096</x:v>
      </x:c>
      <x:c r="P521" s="66" t="n">
        <x:v>0.0186756460349355</x:v>
      </x:c>
      <x:c r="Q521" s="66" t="n">
        <x:v>8.09547901830602e-9</x:v>
      </x:c>
      <x:c r="R521" s="66" t="str">
        <x:v>C:\Users\admin\.codex\.chatgpt-projects\g-p-6910508be2a081919b9cb5881a96c92b\overnight_refinement_2026-08-27\reports\R150_21k_Mp1p5_Am1p25_Op0p00001_ise_report.json</x:v>
      </x:c>
    </x:row>
    <x:row r="522">
      <x:c r="A522" s="66" t="str">
        <x:v>R151_21k_Mp1p5_Am0p75_Op0p00001_ise</x:v>
      </x:c>
      <x:c r="B522" s="66" t="str">
        <x:v>21k</x:v>
      </x:c>
      <x:c r="C522" s="66" t="n">
        <x:v>1.5</x:v>
      </x:c>
      <x:c r="D522" s="66" t="n">
        <x:v>-0.75</x:v>
      </x:c>
      <x:c r="E522" s="66" t="n">
        <x:v>0.00001</x:v>
      </x:c>
      <x:c r="F522" s="66" t="str">
        <x:v>isentropic</x:v>
      </x:c>
      <x:c r="G522" s="66" t="str">
        <x:v>FQRUP</x:v>
      </x:c>
      <x:c r="H522" s="66" t="str">
        <x:v>OK</x:v>
      </x:c>
      <x:c r="I522" s="66" t="n">
        <x:v>1</x:v>
      </x:c>
      <x:c r="J522" s="66" t="n">
        <x:v>0</x:v>
      </x:c>
      <x:c r="K522" s="66" t="n">
        <x:v>59.594</x:v>
      </x:c>
      <x:c r="L522" s="66" t="n">
        <x:v>0.0170345353232856</x:v>
      </x:c>
      <x:c r="M522" s="66" t="n">
        <x:v>-0.000167196102489256</x:v>
      </x:c>
      <x:c r="N522" s="66" t="n">
        <x:v>0.0156945850164956</x:v>
      </x:c>
      <x:c r="O522" s="66" t="n">
        <x:v>0.0168276401627928</x:v>
      </x:c>
      <x:c r="P522" s="66" t="n">
        <x:v>0.0159162156014499</x:v>
      </x:c>
      <x:c r="Q522" s="66" t="n">
        <x:v>9.08296115843537e-9</x:v>
      </x:c>
      <x:c r="R522" s="66" t="str">
        <x:v>C:\Users\admin\.codex\.chatgpt-projects\g-p-6910508be2a081919b9cb5881a96c92b\overnight_refinement_2026-08-27\reports\R151_21k_Mp1p5_Am0p75_Op0p00001_ise_report.json</x:v>
      </x:c>
    </x:row>
    <x:row r="523">
      <x:c r="A523" s="66" t="str">
        <x:v>R152_21k_Mp1p5_Am0p5_Op0p00001_ise</x:v>
      </x:c>
      <x:c r="B523" s="66" t="str">
        <x:v>21k</x:v>
      </x:c>
      <x:c r="C523" s="66" t="n">
        <x:v>1.5</x:v>
      </x:c>
      <x:c r="D523" s="66" t="n">
        <x:v>-0.5</x:v>
      </x:c>
      <x:c r="E523" s="66" t="n">
        <x:v>0.00001</x:v>
      </x:c>
      <x:c r="F523" s="66" t="str">
        <x:v>isentropic</x:v>
      </x:c>
      <x:c r="G523" s="66" t="str">
        <x:v>FQRUP</x:v>
      </x:c>
      <x:c r="H523" s="66" t="str">
        <x:v>OK</x:v>
      </x:c>
      <x:c r="I523" s="66" t="n">
        <x:v>1</x:v>
      </x:c>
      <x:c r="J523" s="66" t="n">
        <x:v>0</x:v>
      </x:c>
      <x:c r="K523" s="66" t="n">
        <x:v>60.86</x:v>
      </x:c>
      <x:c r="L523" s="66" t="n">
        <x:v>0.017039937826199</x:v>
      </x:c>
      <x:c r="M523" s="66" t="n">
        <x:v>-0.000304073589195611</x:v>
      </x:c>
      <x:c r="N523" s="66" t="n">
        <x:v>0.0140982204893687</x:v>
      </x:c>
      <x:c r="O523" s="66" t="n">
        <x:v>0.0169162603760155</x:v>
      </x:c>
      <x:c r="P523" s="66" t="n">
        <x:v>0.0142463832946622</x:v>
      </x:c>
      <x:c r="Q523" s="66" t="n">
        <x:v>9.06308558332238e-9</x:v>
      </x:c>
      <x:c r="R523" s="66" t="str">
        <x:v>C:\Users\admin\.codex\.chatgpt-projects\g-p-6910508be2a081919b9cb5881a96c92b\overnight_refinement_2026-08-27\reports\R152_21k_Mp1p5_Am0p5_Op0p00001_ise_report.json</x:v>
      </x:c>
    </x:row>
    <x:row r="524">
      <x:c r="A524" s="66" t="str">
        <x:v>R153_21k_Mp1p5_Ap0p5_Op0p00001_ise</x:v>
      </x:c>
      <x:c r="B524" s="66" t="str">
        <x:v>21k</x:v>
      </x:c>
      <x:c r="C524" s="66" t="n">
        <x:v>1.5</x:v>
      </x:c>
      <x:c r="D524" s="66" t="n">
        <x:v>0.5</x:v>
      </x:c>
      <x:c r="E524" s="66" t="n">
        <x:v>0.00001</x:v>
      </x:c>
      <x:c r="F524" s="66" t="str">
        <x:v>isentropic</x:v>
      </x:c>
      <x:c r="G524" s="66" t="str">
        <x:v>FQRUP</x:v>
      </x:c>
      <x:c r="H524" s="66" t="str">
        <x:v>OK</x:v>
      </x:c>
      <x:c r="I524" s="66" t="n">
        <x:v>1</x:v>
      </x:c>
      <x:c r="J524" s="66" t="n">
        <x:v>0</x:v>
      </x:c>
      <x:c r="K524" s="66" t="n">
        <x:v>60.422</x:v>
      </x:c>
      <x:c r="L524" s="66" t="n">
        <x:v>0.0167920489630409</x:v>
      </x:c>
      <x:c r="M524" s="66" t="n">
        <x:v>0.000681289929792883</x:v>
      </x:c>
      <x:c r="N524" s="66" t="n">
        <x:v>0.0067191680761565</x:v>
      </x:c>
      <x:c r="O524" s="66" t="n">
        <x:v>0.0168500446320062</x:v>
      </x:c>
      <x:c r="P524" s="66" t="n">
        <x:v>0.00657237581945843</x:v>
      </x:c>
      <x:c r="Q524" s="66" t="n">
        <x:v>8.75216618060567e-9</x:v>
      </x:c>
      <x:c r="R524" s="66" t="str">
        <x:v>C:\Users\admin\.codex\.chatgpt-projects\g-p-6910508be2a081919b9cb5881a96c92b\overnight_refinement_2026-08-27\reports\R153_21k_Mp1p5_Ap0p5_Op0p00001_ise_report.json</x:v>
      </x:c>
    </x:row>
    <x:row r="525">
      <x:c r="A525" s="66" t="str">
        <x:v>R154_21k_Mp1p5_Ap1p5_Op0p00001_ise</x:v>
      </x:c>
      <x:c r="B525" s="66" t="str">
        <x:v>21k</x:v>
      </x:c>
      <x:c r="C525" s="66" t="n">
        <x:v>1.5</x:v>
      </x:c>
      <x:c r="D525" s="66" t="n">
        <x:v>1.5</x:v>
      </x:c>
      <x:c r="E525" s="66" t="n">
        <x:v>0.00001</x:v>
      </x:c>
      <x:c r="F525" s="66" t="str">
        <x:v>isentropic</x:v>
      </x:c>
      <x:c r="G525" s="66" t="str">
        <x:v>FQRUP</x:v>
      </x:c>
      <x:c r="H525" s="66" t="str">
        <x:v>OK</x:v>
      </x:c>
      <x:c r="I525" s="66" t="n">
        <x:v>1</x:v>
      </x:c>
      <x:c r="J525" s="66" t="n">
        <x:v>0</x:v>
      </x:c>
      <x:c r="K525" s="66" t="n">
        <x:v>59.907</x:v>
      </x:c>
      <x:c r="L525" s="66" t="n">
        <x:v>0.0191337411653153</x:v>
      </x:c>
      <x:c r="M525" s="66" t="n">
        <x:v>0.00185471056770678</x:v>
      </x:c>
      <x:c r="N525" s="66" t="n">
        <x:v>0.00298702518625931</x:v>
      </x:c>
      <x:c r="O525" s="66" t="n">
        <x:v>0.0192053757139888</x:v>
      </x:c>
      <x:c r="P525" s="66" t="n">
        <x:v>0.00248513865390991</x:v>
      </x:c>
      <x:c r="Q525" s="66" t="n">
        <x:v>8.59932816691545e-9</x:v>
      </x:c>
      <x:c r="R525" s="66" t="str">
        <x:v>C:\Users\admin\.codex\.chatgpt-projects\g-p-6910508be2a081919b9cb5881a96c92b\overnight_refinement_2026-08-27\reports\R154_21k_Mp1p5_Ap1p5_Op0p00001_ise_report.json</x:v>
      </x:c>
    </x:row>
    <x:row r="526">
      <x:c r="A526" s="69" t="str">
        <x:v>R155_21k_Mp1p55_Ap0p25_Op0p00001_ise</x:v>
      </x:c>
      <x:c r="B526" s="69" t="str">
        <x:v>21k</x:v>
      </x:c>
      <x:c r="C526" s="69" t="n">
        <x:v>1.55</x:v>
      </x:c>
      <x:c r="D526" s="69" t="n">
        <x:v>0.25</x:v>
      </x:c>
      <x:c r="E526" s="69" t="n">
        <x:v>0.00001</x:v>
      </x:c>
      <x:c r="F526" s="69" t="str">
        <x:v>isentropic</x:v>
      </x:c>
      <x:c r="G526" s="69" t="str">
        <x:v>FQRUP</x:v>
      </x:c>
      <x:c r="H526" s="69" t="str">
        <x:v>OK</x:v>
      </x:c>
      <x:c r="I526" s="69" t="n">
        <x:v>1</x:v>
      </x:c>
      <x:c r="J526" s="69" t="n">
        <x:v>0</x:v>
      </x:c>
      <x:c r="K526" s="69" t="n">
        <x:v>56.485</x:v>
      </x:c>
      <x:c r="L526" s="69" t="n">
        <x:v>0.0279459663348287</x:v>
      </x:c>
      <x:c r="M526" s="69" t="n">
        <x:v>-0.0549472291328169</x:v>
      </x:c>
      <x:c r="N526" s="69" t="n">
        <x:v>0.0847996870910624</x:v>
      </x:c>
      <x:c r="O526" s="69" t="n">
        <x:v>0.0283157075713989</x:v>
      </x:c>
      <x:c r="P526" s="69" t="n">
        <x:v>0.0846769429647794</x:v>
      </x:c>
      <x:c r="Q526" s="69" t="n">
        <x:v>8.26085086527552e-9</x:v>
      </x:c>
      <x:c r="R526" s="69" t="str">
        <x:v>C:\Users\admin\.codex\.chatgpt-projects\g-p-6910508be2a081919b9cb5881a96c92b\overnight_refinement_2026-08-27\reports\R155_21k_Mp1p55_Ap0p25_Op0p00001_ise_report.json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00" hidden="0" customWidth="1"/>
    <x:col min="3" max="3" width="4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>
      <x:c r="A1" s="3" t="str">
        <x:v>Методика выбора лучшего расчёта</x:v>
      </x:c>
      <x:c r="B1" s="3"/>
      <x:c r="C1" s="3"/>
      <x:c r="D1" s="3"/>
      <x:c r="E1" s="3"/>
      <x:c r="F1" s="3"/>
      <x:c r="G1" s="3"/>
      <x:c r="H1" s="3"/>
    </x:row>
    <x:row r="2">
      <x:c r="A2" s="66"/>
      <x:c r="B2" s="66"/>
      <x:c r="C2" s="66"/>
      <x:c r="D2" s="66"/>
      <x:c r="E2" s="66"/>
      <x:c r="F2" s="66"/>
      <x:c r="G2" s="66"/>
      <x:c r="H2" s="66"/>
    </x:row>
    <x:row r="3">
      <x:c r="A3" s="36" t="str">
        <x:v>Раздел</x:v>
      </x:c>
      <x:c r="B3" s="36" t="str">
        <x:v>Содержание</x:v>
      </x:c>
      <x:c r="C3" s="66"/>
      <x:c r="D3" s="66"/>
      <x:c r="E3" s="66"/>
      <x:c r="F3" s="66"/>
      <x:c r="G3" s="66"/>
      <x:c r="H3" s="66"/>
    </x:row>
    <x:row r="4" ht="34" customHeight="1">
      <x:c r="A4" s="62" t="str">
        <x:v>Подъёмная сила</x:v>
      </x:c>
      <x:c r="B4" s="65" t="str">
        <x:v>Лучший Cy(α) взят из финальной сбалансированной серии VSPAERO со смешанной моделью. Для каждого α контролируется CMy≈0; M=1,70 при больших α содержит явно отмеченную линейную экстраполяцию устойчивого локального наклона.</x:v>
      </x:c>
      <x:c r="C4" s="66"/>
      <x:c r="D4" s="66"/>
      <x:c r="E4" s="66"/>
      <x:c r="F4" s="66"/>
      <x:c r="G4" s="66"/>
      <x:c r="H4" s="66"/>
    </x:row>
    <x:row r="5" ht="34" customHeight="1">
      <x:c r="A5" s="62" t="str">
        <x:v>Cy — полный диапазон</x:v>
      </x:c>
      <x:c r="B5" s="65" t="str">
        <x:v>Единая исправленная замкнутая VSP-модель рассчитана при M=0,0…0,8 и 1,2…2,2, α=0…5°. Cyα по запросу вычисляется формулой Cy(1°)−Cy(0°). Прямые численно неустойчивые точки не используются: они заменены интерполяцией только между соседними устойчивыми решениями и выделены в таблице.</x:v>
      </x:c>
      <x:c r="C5" s="66"/>
      <x:c r="D5" s="66"/>
      <x:c r="E5" s="66"/>
      <x:c r="F5" s="66"/>
      <x:c r="G5" s="66"/>
      <x:c r="H5" s="66"/>
    </x:row>
    <x:row r="6" ht="34" customHeight="1">
      <x:c r="A6" s="62" t="str">
        <x:v>Дозвуковой Cx0</x:v>
      </x:c>
      <x:c r="B6" s="65" t="str">
        <x:v>Отдельная полуэмпирическая ветвь: к давлению VSPAERO добавлены профильное сопротивление, трение и фиксированные конструктивные добавки. В книге представлены расчёт, исходный VSPAERO pressure-fit и оцифрованная книжная кривая.</x:v>
      </x:c>
      <x:c r="C6" s="66"/>
      <x:c r="D6" s="66"/>
      <x:c r="E6" s="66"/>
      <x:c r="F6" s="66"/>
      <x:c r="G6" s="66"/>
      <x:c r="H6" s="66"/>
    </x:row>
    <x:row r="7" ht="34" customHeight="1">
      <x:c r="A7" s="62" t="str">
        <x:v>Сверхзвуковой Cx0</x:v>
      </x:c>
      <x:c r="B7" s="65" t="str">
        <x:v>Единая конфигурация MachLine и фиксированная схема поправок выбраны сразу на всём диапазоне M=1,20…1,70 — без поточечной подгонки.</x:v>
      </x:c>
      <x:c r="C7" s="66"/>
      <x:c r="D7" s="66"/>
      <x:c r="E7" s="66"/>
      <x:c r="F7" s="66"/>
      <x:c r="G7" s="66"/>
      <x:c r="H7" s="66"/>
    </x:row>
    <x:row r="8" ht="34" customHeight="1">
      <x:c r="A8" s="62" t="str">
        <x:v>Матрица</x:v>
      </x:c>
      <x:c r="B8" s="65" t="str">
        <x:v>M=1,10…1,55 с шагом 0,05; сетки 7k/13k/21k; control_point_offset 1e-5 и 1e-4; FQRUP.</x:v>
      </x:c>
      <x:c r="C8" s="66"/>
      <x:c r="D8" s="66"/>
      <x:c r="E8" s="66"/>
      <x:c r="F8" s="66"/>
      <x:c r="G8" s="66"/>
      <x:c r="H8" s="66"/>
    </x:row>
    <x:row r="9" ht="34" customHeight="1">
      <x:c r="A9" s="62" t="str">
        <x:v>Угол атаки</x:v>
      </x:c>
      <x:c r="B9" s="65" t="str">
        <x:v>Основная матрица: 21k — −4…+4° с шагом 1°; 7k/13k — −4, −2, 0, +2, +4°. Для M=1,20; 1,25; 1,50; 1,55 добавлено локальное сгущение по α на всех трёх сетках.</x:v>
      </x:c>
      <x:c r="C9" s="66"/>
      <x:c r="D9" s="66"/>
      <x:c r="E9" s="66"/>
      <x:c r="F9" s="66"/>
      <x:c r="G9" s="66"/>
      <x:c r="H9" s="66"/>
    </x:row>
    <x:row r="10" ht="34" customHeight="1">
      <x:c r="A10" s="62" t="str">
        <x:v>Предпроверка</x:v>
      </x:c>
      <x:c r="B10" s="65" t="str">
        <x:v>Случаи с superinclined-панелями исключены до запуска решателя; модель самолёта не искажалась.</x:v>
      </x:c>
      <x:c r="C10" s="66"/>
      <x:c r="D10" s="66"/>
      <x:c r="E10" s="66"/>
      <x:c r="F10" s="66"/>
      <x:c r="G10" s="66"/>
      <x:c r="H10" s="66"/>
    </x:row>
    <x:row r="11" ht="34" customHeight="1">
      <x:c r="A11" s="62" t="str">
        <x:v>Cx0</x:v>
      </x:c>
      <x:c r="B11" s="65" t="str">
        <x:v>Ноль CN определяется линейно внутри ближайшего к α=0 интервала со сменой знака; Cx0 затем вычисляется локальной квадратичной интерполяцией по трём ближайшим точкам.</x:v>
      </x:c>
      <x:c r="C11" s="66"/>
      <x:c r="D11" s="66"/>
      <x:c r="E11" s="66"/>
      <x:c r="F11" s="66"/>
      <x:c r="G11" s="66"/>
      <x:c r="H11" s="66"/>
    </x:row>
    <x:row r="12" ht="34" customHeight="1">
      <x:c r="A12" s="62" t="str">
        <x:v>Выбор</x:v>
      </x:c>
      <x:c r="B12" s="65" t="str">
        <x:v>Одна комбинация сетки, offset, правила давления и полуэмпирической схемы оценивается на всём диапазоне.</x:v>
      </x:c>
      <x:c r="C12" s="66"/>
      <x:c r="D12" s="66"/>
      <x:c r="E12" s="66"/>
      <x:c r="F12" s="66"/>
      <x:c r="G12" s="66"/>
      <x:c r="H12" s="66"/>
    </x:row>
    <x:row r="13" ht="34" customHeight="1">
      <x:c r="A13" s="62" t="str">
        <x:v>Критерий</x:v>
      </x:c>
      <x:c r="B13" s="65" t="str">
        <x:v>Сначала минимальная средняя абсолютная ошибка, затем максимальная ошибка и число fallback-точек.</x:v>
      </x:c>
      <x:c r="C13" s="66"/>
      <x:c r="D13" s="66"/>
      <x:c r="E13" s="66"/>
      <x:c r="F13" s="66"/>
      <x:c r="G13" s="66"/>
      <x:c r="H13" s="66"/>
    </x:row>
    <x:row r="14" ht="34" customHeight="1">
      <x:c r="A14" s="62" t="str">
        <x:v>Поправки</x:v>
      </x:c>
      <x:c r="B14" s="65" t="str">
        <x:v>Проверяются фиксированные сочетания профильного сопротивления Wing/GO/VO, трения Fuselage/Gondola, щелей и антенн.</x:v>
      </x:c>
      <x:c r="C14" s="66"/>
      <x:c r="D14" s="66"/>
      <x:c r="E14" s="66"/>
      <x:c r="F14" s="66"/>
      <x:c r="G14" s="66"/>
      <x:c r="H14" s="66"/>
    </x:row>
    <x:row r="15" ht="34" customHeight="1">
      <x:c r="A15" s="62" t="str">
        <x:v>Ограничение</x:v>
      </x:c>
      <x:c r="B15" s="65" t="str">
        <x:v>Книжная кривая — эталон проверки конкретного МиГ-29, а не универсальная калибровка будущих самолётов.</x:v>
      </x:c>
      <x:c r="C15" s="66"/>
      <x:c r="D15" s="66"/>
      <x:c r="E15" s="66"/>
      <x:c r="F15" s="66"/>
      <x:c r="G15" s="66"/>
      <x:c r="H15" s="66"/>
    </x:row>
    <x:row r="16" ht="34" customHeight="1">
      <x:c r="A16" s="62" t="str">
        <x:v>M=1,60…1,70</x:v>
      </x:c>
      <x:c r="B16" s="65" t="str">
        <x:v>Используется фиксированный переход от продолжения последнего тренда MachLine к VSPAERO CD(CL=0); вес MachLine линейно уменьшается до нуля при M=1,70.</x:v>
      </x:c>
      <x:c r="C16" s="66"/>
      <x:c r="D16" s="66"/>
      <x:c r="E16" s="66"/>
      <x:c r="F16" s="66"/>
      <x:c r="G16" s="66"/>
      <x:c r="H16" s="66"/>
    </x:row>
    <x:row r="17" ht="34" customHeight="1">
      <x:c r="A17" s="62" t="str">
        <x:v>Автономность Excel</x:v>
      </x:c>
      <x:c r="B17" s="65" t="str">
        <x:v>Все графики используют только ячейки этой книги. CSV/JSON нужны лишь один раз при создании XLSX; после создания внешние файлы и ссылки не требуются.</x:v>
      </x:c>
      <x:c r="C17" s="66"/>
      <x:c r="D17" s="66"/>
      <x:c r="E17" s="66"/>
      <x:c r="F17" s="66"/>
      <x:c r="G17" s="66"/>
      <x:c r="H17" s="66"/>
    </x:row>
    <x:row r="18" ht="34" customHeight="1">
      <x:c r="A18" s="62" t="str">
        <x:v>Исходные данные</x:v>
      </x:c>
      <x:c r="B18" s="65" t="str">
        <x:v>C:/Users/admin/.codex/.chatgpt-projects/g-p-6910508be2a081919b9cb5881a96c92b/overnight_refinement_2026-08-27</x:v>
      </x:c>
      <x:c r="C18" s="66"/>
      <x:c r="D18" s="66"/>
      <x:c r="E18" s="66"/>
      <x:c r="F18" s="66"/>
      <x:c r="G18" s="66"/>
      <x:c r="H18" s="66"/>
    </x:row>
    <x:row r="19" ht="34" customHeight="1">
      <x:c r="A19" s="78" t="str">
        <x:v>Итоговый файл</x:v>
      </x:c>
      <x:c r="B19" s="79" t="str">
        <x:v>C:\Users\admin\.codex\.chatgpt-projects\g-p-6910508be2a081919b9cb5881a96c92b\outputs\01a0354f-59ac-7e63-af78-2b654a52d736\RepairMach_overnight_refinement.xlsx</x:v>
      </x:c>
      <x:c r="C19" s="69"/>
      <x:c r="D19" s="69"/>
      <x:c r="E19" s="69"/>
      <x:c r="F19" s="69"/>
      <x:c r="G19" s="69"/>
      <x:c r="H19" s="69"/>
    </x:row>
  </x:sheetData>
  <x:mergeCells>
    <x:mergeCell ref="A1:H1"/>
  </x:mergeCells>
  <x:pageMargins left="0.7" right="0.7" top="0.75" bottom="0.75" header="0.3" footer="0.3"/>
</x:worksheet>
</file>